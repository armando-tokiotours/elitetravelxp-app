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ki/Downloads/"/>
    </mc:Choice>
  </mc:AlternateContent>
  <xr:revisionPtr revIDLastSave="0" documentId="13_ncr:1_{D4D75FB8-B934-FF4E-B6DA-E00F7CF9C501}" xr6:coauthVersionLast="47" xr6:coauthVersionMax="47" xr10:uidLastSave="{00000000-0000-0000-0000-000000000000}"/>
  <bookViews>
    <workbookView xWindow="0" yWindow="760" windowWidth="34000" windowHeight="18140" tabRatio="500" activeTab="9" xr2:uid="{00000000-000D-0000-FFFF-FFFF00000000}"/>
  </bookViews>
  <sheets>
    <sheet name="Read Me" sheetId="1" r:id="rId1"/>
    <sheet name="Trip Duration" sheetId="2" r:id="rId2"/>
    <sheet name="Airports &amp; Meet-Assist" sheetId="3" r:id="rId3"/>
    <sheet name="Cities &amp; Nights" sheetId="4" r:id="rId4"/>
    <sheet name="Months &amp; Season" sheetId="5" r:id="rId5"/>
    <sheet name="Hotels by City" sheetId="6" r:id="rId6"/>
    <sheet name="Tours - Tokiotours Pricing" sheetId="7" r:id="rId7"/>
    <sheet name="Website Tour Catalog" sheetId="8" r:id="rId8"/>
    <sheet name="Driver &amp; Vehicle Prices" sheetId="9" r:id="rId9"/>
    <sheet name="Driver &amp; Guide Day Rat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9" l="1"/>
  <c r="D47" i="9"/>
  <c r="E47" i="9" s="1"/>
  <c r="D46" i="9"/>
  <c r="E46" i="9" s="1"/>
  <c r="D45" i="9"/>
  <c r="E45" i="9" s="1"/>
  <c r="E44" i="9"/>
  <c r="D44" i="9"/>
  <c r="D43" i="9"/>
  <c r="E43" i="9" s="1"/>
  <c r="D42" i="9"/>
  <c r="E42" i="9" s="1"/>
  <c r="D41" i="9"/>
  <c r="E41" i="9" s="1"/>
  <c r="D40" i="9"/>
  <c r="E40" i="9" s="1"/>
  <c r="E39" i="9"/>
  <c r="D39" i="9"/>
  <c r="E38" i="9"/>
  <c r="D38" i="9"/>
  <c r="D37" i="9"/>
  <c r="E37" i="9" s="1"/>
  <c r="D36" i="9"/>
  <c r="E36" i="9" s="1"/>
  <c r="D35" i="9"/>
  <c r="E35" i="9" s="1"/>
  <c r="D34" i="9"/>
  <c r="E34" i="9" s="1"/>
  <c r="D33" i="9"/>
  <c r="E33" i="9" s="1"/>
  <c r="D32" i="9"/>
  <c r="E32" i="9" s="1"/>
  <c r="E31" i="9"/>
  <c r="D31" i="9"/>
  <c r="E30" i="9"/>
  <c r="D30" i="9"/>
  <c r="D29" i="9"/>
  <c r="E29" i="9" s="1"/>
  <c r="D28" i="9"/>
  <c r="E28" i="9" s="1"/>
  <c r="D27" i="9"/>
  <c r="E27" i="9" s="1"/>
  <c r="D26" i="9"/>
  <c r="E26" i="9" s="1"/>
  <c r="D25" i="9"/>
  <c r="E25" i="9" s="1"/>
  <c r="D24" i="9"/>
  <c r="E24" i="9" s="1"/>
  <c r="E23" i="9"/>
  <c r="D23" i="9"/>
  <c r="E22" i="9"/>
  <c r="D22" i="9"/>
  <c r="D21" i="9"/>
  <c r="E21" i="9" s="1"/>
  <c r="D20" i="9"/>
  <c r="E20" i="9" s="1"/>
  <c r="D19" i="9"/>
  <c r="E19" i="9" s="1"/>
  <c r="D18" i="9"/>
  <c r="E18" i="9" s="1"/>
  <c r="D17" i="9"/>
  <c r="E17" i="9" s="1"/>
  <c r="D16" i="9"/>
  <c r="E16" i="9" s="1"/>
  <c r="E15" i="9"/>
  <c r="D15" i="9"/>
  <c r="E14" i="9"/>
  <c r="D14" i="9"/>
  <c r="D12" i="9"/>
  <c r="E12" i="9" s="1"/>
  <c r="D11" i="9"/>
  <c r="E11" i="9" s="1"/>
  <c r="D9" i="9"/>
  <c r="E9" i="9" s="1"/>
  <c r="D8" i="9"/>
  <c r="D6" i="9"/>
  <c r="E6" i="9" s="1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8" i="3"/>
  <c r="E7" i="3"/>
  <c r="E6" i="3"/>
  <c r="E5" i="3"/>
</calcChain>
</file>

<file path=xl/sharedStrings.xml><?xml version="1.0" encoding="utf-8"?>
<sst xmlns="http://schemas.openxmlformats.org/spreadsheetml/2006/main" count="714" uniqueCount="313">
  <si>
    <t>Tokiotours — Trip Builder Menu Data (2026)</t>
  </si>
  <si>
    <t>Reference data for the trip-builder app menus: Trip Duration, Arrival &amp; Departure, Hotels &amp; Guests, Locations &amp; Nights, Tours &amp; Driver.</t>
  </si>
  <si>
    <t>What this file covers</t>
  </si>
  <si>
    <t>One tab per app menu, plus the pricing data behind it: Tokiotours tour prices (+10%), Kim's driver/vehicle prices (recalculated from yen), and researched 4-star/5-star hotel price ranges by city and season.</t>
  </si>
  <si>
    <t>Tour list source</t>
  </si>
  <si>
    <t>Cross-checked against tokiotours.nl (Private tours + Prices pages, checked 11 Sept 2026). The website does not publish tour prices — it directs enquiries to a personal quote — so all prices come from the internal 'Tokiotours Price list 2026' document, not the website.</t>
  </si>
  <si>
    <t>Tokiotours tour prices</t>
  </si>
  <si>
    <t>Base prices are exactly as given in the internal 2026 price list. The 'Price +10%' column is a live formula (base × 1.10) — change the base and the client price updates automatically.</t>
  </si>
  <si>
    <t>Driver / vehicle prices (Kim)</t>
  </si>
  <si>
    <t>The original 'Driver prices' document used a flat €175 margin per route. As requested, this workbook instead converts every yen cost at the EUR/JPY rate below and adds 40% — a different (higher, on most routes) client price than the original document. Both the yen→EUR step and the +40% step are live formulas.</t>
  </si>
  <si>
    <t>Exchange rate used</t>
  </si>
  <si>
    <t>1 EUR = 179 JPY — mid-market EUR/JPY rate, 11 September 2026 (Bloomberg/Yahoo Finance/Xe, cross-checked). This rate lives in cell B2 of the 'Driver &amp; Vehicle Prices' tab — update it there and every converted price recalculates.</t>
  </si>
  <si>
    <t>Hotel price ranges — IMPORTANT</t>
  </si>
  <si>
    <t>These are NOT Tokiotours-negotiated rates. They're indicative ranges built from public OTA aggregator data (Booking.com, Expedia, Kayak, Skyscanner, momondo, Budget Your Trip), gathered 11 Sept 2026, converted at 1 USD ≈ 0.86 EUR. Treat them as a planning guide only — always confirm the actual rate with the hotel, or via Booking.com/Agoda, before quoting a client. Booking directly through Agoda or Booking.com will often be cheaper for the client than a rate we quote with a handling fee added, and that's worth telling clients who ask.</t>
  </si>
  <si>
    <t>Seasonality</t>
  </si>
  <si>
    <t>Hotel ranges are split Low season / High season. The 'Months &amp; Season' tab maps each calendar month to Low / Mid / High — Mid-season prices fall roughly between the Low and High figures shown.</t>
  </si>
  <si>
    <t>Gaps found</t>
  </si>
  <si>
    <t>Hakodate has a tour on the website (Hakodate Highlights Tour) but no price line in the internal 2026 price list — flagged in the 'Website Tour Catalog' tab. No distinctly-named Nagasaki tour page was found on the website's 3 tour-listing pages, even though Nagasaki has internal pricing — worth checking whether that page exists under a different name.</t>
  </si>
  <si>
    <t>Not covered here</t>
  </si>
  <si>
    <t>Room types/bed configurations, number-of-guests logic, and the 'Tours &amp; Driver' picker's exact tour list (that popup in the video was rendered too small/blurred to transcribe reliably) — flag if you want these added.</t>
  </si>
  <si>
    <t>Trip Duration menu</t>
  </si>
  <si>
    <t>Options shown in the app's Step 1 (Trip Duration)</t>
  </si>
  <si>
    <t>Duration</t>
  </si>
  <si>
    <t>Description</t>
  </si>
  <si>
    <t>Notes</t>
  </si>
  <si>
    <t>10 days</t>
  </si>
  <si>
    <t>Standard short package</t>
  </si>
  <si>
    <t>Shown selected/default in the app demo</t>
  </si>
  <si>
    <t>14 days</t>
  </si>
  <si>
    <t>Standard mid-length package</t>
  </si>
  <si>
    <t>Shown in the app demo</t>
  </si>
  <si>
    <t>21 days</t>
  </si>
  <si>
    <t>Standard extended package</t>
  </si>
  <si>
    <t>Custom</t>
  </si>
  <si>
    <t>Any other length</t>
  </si>
  <si>
    <t>App also allows a custom total; nights allocated per city in Step 4 (Locations &amp; Nights) must add up to the total trip length</t>
  </si>
  <si>
    <t>Arrival &amp; Departure menu</t>
  </si>
  <si>
    <t>Airports + Meet &amp; Assist guide-service pricing (Step 2)</t>
  </si>
  <si>
    <t>Airport</t>
  </si>
  <si>
    <t>Code</t>
  </si>
  <si>
    <t>Service</t>
  </si>
  <si>
    <t>Base Price 2026 (€)</t>
  </si>
  <si>
    <t>Price +10% (€)</t>
  </si>
  <si>
    <t>Narita Airport</t>
  </si>
  <si>
    <t>NRT</t>
  </si>
  <si>
    <t>Meet &amp; Assist (guide, public transit)</t>
  </si>
  <si>
    <t>Guide meets at pickup area from 30 min after flight lands</t>
  </si>
  <si>
    <t>Haneda Airport</t>
  </si>
  <si>
    <t>HND</t>
  </si>
  <si>
    <t>Kansai Airport</t>
  </si>
  <si>
    <t>KIX</t>
  </si>
  <si>
    <t>Any (short/local)</t>
  </si>
  <si>
    <t>—</t>
  </si>
  <si>
    <t>Short Service (Korte Service)</t>
  </si>
  <si>
    <t>For shorter/local pickups, not a full airport Meet &amp; Assist</t>
  </si>
  <si>
    <t>Extra costs (apply on top of the price above):</t>
  </si>
  <si>
    <t>€10 per extra person, from the 3rd person onward</t>
  </si>
  <si>
    <t>€5 per extra 15 minutes of guide waiting time, once waiting exceeds 1 hour after the guide's arrival at the airport (guide is present from 30 min after landing)</t>
  </si>
  <si>
    <t>Earliest pickup 08:30; latest pickup is for a flight landing by 20:00. Outside those hours, a separate quote is given.</t>
  </si>
  <si>
    <t>All pickups use public transit. Guide can assist exchanging JR vouchers (not possible if arrival is after 16:30) and make one reservation.</t>
  </si>
  <si>
    <t>Locations &amp; Nights menu</t>
  </si>
  <si>
    <t>Cities/areas Tokiotours offers tours in (Step 4)</t>
  </si>
  <si>
    <t>City / Area</t>
  </si>
  <si>
    <t>Region</t>
  </si>
  <si>
    <t>Hotel data
included?</t>
  </si>
  <si>
    <t>Tokyo</t>
  </si>
  <si>
    <t>Kanto</t>
  </si>
  <si>
    <t>Yes</t>
  </si>
  <si>
    <t>Main hub; base for Kamakura, Nikko, Hakone, Kawaguchiko day trips</t>
  </si>
  <si>
    <t>Kamakura</t>
  </si>
  <si>
    <t>No</t>
  </si>
  <si>
    <t>Day trip from Tokyo — typically no separate hotel night</t>
  </si>
  <si>
    <t>Nikko</t>
  </si>
  <si>
    <t>Day trip from Tokyo or overnight (onsen ryokan area)</t>
  </si>
  <si>
    <t>Hakone</t>
  </si>
  <si>
    <t>Popular overnight onsen/ryokan stop</t>
  </si>
  <si>
    <t>Kawaguchiko (Mt. Fuji)</t>
  </si>
  <si>
    <t>Yamanashi</t>
  </si>
  <si>
    <t>Popular overnight onsen/ryokan stop, Mt. Fuji views</t>
  </si>
  <si>
    <t>Kyoto</t>
  </si>
  <si>
    <t>Kansai</t>
  </si>
  <si>
    <t>Osaka</t>
  </si>
  <si>
    <t>Nara</t>
  </si>
  <si>
    <t>Day trip from Kyoto/Osaka — typically no separate hotel night</t>
  </si>
  <si>
    <t>Takayama</t>
  </si>
  <si>
    <t>Chubu</t>
  </si>
  <si>
    <t>Kanazawa</t>
  </si>
  <si>
    <t>Hiroshima</t>
  </si>
  <si>
    <t>Chugoku</t>
  </si>
  <si>
    <t>Miyajima</t>
  </si>
  <si>
    <t>Island near Hiroshima; own ryokans, popular overnight</t>
  </si>
  <si>
    <t>Fukuoka</t>
  </si>
  <si>
    <t>Kyushu</t>
  </si>
  <si>
    <t>Nagasaki</t>
  </si>
  <si>
    <t>Hakodate</t>
  </si>
  <si>
    <t>Hokkaido</t>
  </si>
  <si>
    <t>Tour listed on website; no internal tour price on file — see Website Tour Catalog</t>
  </si>
  <si>
    <t>Travel Month menu</t>
  </si>
  <si>
    <t>Seasonality reference for hotel pricing (all months)</t>
  </si>
  <si>
    <t>Month</t>
  </si>
  <si>
    <t>Season Tier</t>
  </si>
  <si>
    <t>January</t>
  </si>
  <si>
    <t>Low</t>
  </si>
  <si>
    <t>New Year holiday week (1–3 Jan) is High; rest of month is quiet</t>
  </si>
  <si>
    <t>February</t>
  </si>
  <si>
    <t>Quietest month overall, best value</t>
  </si>
  <si>
    <t>March</t>
  </si>
  <si>
    <t>High</t>
  </si>
  <si>
    <t>Cherry blossom season begins late March</t>
  </si>
  <si>
    <t>April</t>
  </si>
  <si>
    <t>Peak cherry blossom (early Apr) plus Golden Week starting Apr 29</t>
  </si>
  <si>
    <t>May</t>
  </si>
  <si>
    <t>Golden Week runs to ~May 5; quieter for the rest of the month</t>
  </si>
  <si>
    <t>June</t>
  </si>
  <si>
    <t>Rainy season (tsuyu), fewer tourists</t>
  </si>
  <si>
    <t>July</t>
  </si>
  <si>
    <t>Mid</t>
  </si>
  <si>
    <t>Summer begins; Marine Day holiday</t>
  </si>
  <si>
    <t>August</t>
  </si>
  <si>
    <t>Obon week (mid-Aug) busy domestically; other weeks often cheaper for foreign visitors due to heat</t>
  </si>
  <si>
    <t>September</t>
  </si>
  <si>
    <t>Quiet shoulder season; typhoon risk</t>
  </si>
  <si>
    <t>October</t>
  </si>
  <si>
    <t>Comfortable weather; foliage starts late month in the north</t>
  </si>
  <si>
    <t>November</t>
  </si>
  <si>
    <t>Peak autumn foliage nationwide — the most expensive month in several cities researched</t>
  </si>
  <si>
    <t>December</t>
  </si>
  <si>
    <t>New Year's Eve period (28–31 Dec) is High; early December is quiet</t>
  </si>
  <si>
    <t>Mid-season hotel prices generally fall between the Low season and High season ranges shown in the Hotels by City tab.</t>
  </si>
  <si>
    <t>Hotels &amp; Guests menu</t>
  </si>
  <si>
    <t>Research-based ranges, not Tokiotours-negotiated rates — see Read Me tab before quoting a client.</t>
  </si>
  <si>
    <t>City</t>
  </si>
  <si>
    <t>Star Rating</t>
  </si>
  <si>
    <t>Low Season
Min (€)</t>
  </si>
  <si>
    <t>Low Season
Max (€)</t>
  </si>
  <si>
    <t>High Season
Min (€)</t>
  </si>
  <si>
    <t>High Season
Max (€)</t>
  </si>
  <si>
    <t>Notes / source</t>
  </si>
  <si>
    <t>4-star</t>
  </si>
  <si>
    <t>Aggregator averages ~$130-260/night; cheapest Jun, most expensive Mar (cherry blossom)</t>
  </si>
  <si>
    <t>5-star</t>
  </si>
  <si>
    <t>Weekend/peak rates run well above this — cherry blossom week can exceed $800</t>
  </si>
  <si>
    <t>Kyoto introduced a per-person, per-night accommodation tax tier system from 1 Mar 2026 (separate from room rate)</t>
  </si>
  <si>
    <t>Luxury segment cheapest in Aug; March (cherry blossom) can run far higher than shown (avg luxury rate spikes reported above $1,000)</t>
  </si>
  <si>
    <t>Cheapest month reported as January</t>
  </si>
  <si>
    <t>Ryokan-dominated market; priced per room here (ryokans often price per person)</t>
  </si>
  <si>
    <t>Top luxury ryokans (e.g. Gora Kadan) run well above this range</t>
  </si>
  <si>
    <t>Ryokan-dominated market; priced per room here</t>
  </si>
  <si>
    <t>Ultra-luxury Fuji-view suites can run considerably higher</t>
  </si>
  <si>
    <t>Many properties are onsen ryokans</t>
  </si>
  <si>
    <t>Cheapest Jan, most expensive Sep per aggregator data</t>
  </si>
  <si>
    <t>A handful of boutique luxury ryokans price far above this range</t>
  </si>
  <si>
    <t>Cheapest Jan, most expensive Oct (foliage) per aggregator data</t>
  </si>
  <si>
    <t>A few ultra-luxury ryokans price well above this range</t>
  </si>
  <si>
    <t>Island hotels/ryokans; limited inventory pushes rates up in peak periods</t>
  </si>
  <si>
    <t>Cheapest Jan/Aug, most expensive Nov per aggregator data</t>
  </si>
  <si>
    <t>Cheapest Sep, most expensive Nov per aggregator data</t>
  </si>
  <si>
    <t>True 5-star inventory is limited in Nagasaki</t>
  </si>
  <si>
    <t>Onsen resort hotels here skew higher than mainland averages</t>
  </si>
  <si>
    <t>Weekend rates at top properties can run considerably higher</t>
  </si>
  <si>
    <t>Tours &amp; Driver menu — Tokiotours prices</t>
  </si>
  <si>
    <t>Base prices are exactly as given in the internal price list (source: Tokiotours Price list 2026.docx).</t>
  </si>
  <si>
    <t>Area</t>
  </si>
  <si>
    <t>Tour / Activity</t>
  </si>
  <si>
    <t>Pax</t>
  </si>
  <si>
    <t>Tokyo City Tour, 6h</t>
  </si>
  <si>
    <t>Tokyo City Tour, 8h</t>
  </si>
  <si>
    <t>Tokyo Food Tour, 3h</t>
  </si>
  <si>
    <t>1 pax pays the 2-pax price (food tours excepted from that rule per general terms)</t>
  </si>
  <si>
    <t>Tokyo Food Workshop, 3h (with Mari)</t>
  </si>
  <si>
    <t>Kamakura Walking Tour, 8h</t>
  </si>
  <si>
    <t>Kamakura Bicycle Tour, 7h</t>
  </si>
  <si>
    <t>Bike rental &amp; entrance fees included</t>
  </si>
  <si>
    <t>Nikko Tour, 10h</t>
  </si>
  <si>
    <t>Hakone Tour, 10h</t>
  </si>
  <si>
    <t>Kawaguchiko</t>
  </si>
  <si>
    <t>Kawaguchiko Tour, 10h</t>
  </si>
  <si>
    <t>Takayama Tour, 4h</t>
  </si>
  <si>
    <t>English-speaking guide only</t>
  </si>
  <si>
    <t>Takayama / Kanazawa</t>
  </si>
  <si>
    <t>Takayama/Kanazawa combined Tour, 6h</t>
  </si>
  <si>
    <t>Kanazawa Tour, 8h</t>
  </si>
  <si>
    <t>Kyoto / Nara / Osaka</t>
  </si>
  <si>
    <t>Kyoto/Nara/Osaka Tour, 6h</t>
  </si>
  <si>
    <t>Kyoto/Nara/Osaka Tour, 8h</t>
  </si>
  <si>
    <t>Kyoto Bicycle Tour, 6h</t>
  </si>
  <si>
    <t>Bike rental included; 6 pax is the max</t>
  </si>
  <si>
    <t>Osaka Food Tour, 3h</t>
  </si>
  <si>
    <t>Hiroshima / Miyajima</t>
  </si>
  <si>
    <t>Hiroshima/Miyajima Tour, 4h</t>
  </si>
  <si>
    <t>Hiroshima/Miyajima Tour, 6h</t>
  </si>
  <si>
    <t>Hiroshima/Miyajima Tour, 8h</t>
  </si>
  <si>
    <t>Nagasaki Tour, 4h</t>
  </si>
  <si>
    <t>Nagasaki Tour, 6h</t>
  </si>
  <si>
    <t>Fukuoka Tour, 4h</t>
  </si>
  <si>
    <t>Fukuoka Tour, 6h</t>
  </si>
  <si>
    <t>General terms (apply to all tours above except bicycle tours and food tours):</t>
  </si>
  <si>
    <t>1 person pays the same price as 2 people.</t>
  </si>
  <si>
    <t>From the 5th person onward, each additional person after the 4th pays +€30.</t>
  </si>
  <si>
    <t>Children up to and including age 6 join free (they still pay their own expenses).</t>
  </si>
  <si>
    <t>All prices include the guide's expenses (travel, entrance fees, lunch allowance). They exclude the client's own travel costs (~€8/person/day within Tokyo/Kyoto/Osaka, more for out-of-town tours — much of this is free with a valid JR Pass), entrance fees (usually €0 in Tokyo, €10-20 elsewhere), and food/drink.</t>
  </si>
  <si>
    <t>Food tours include: guide's expenses, at least 7 small dishes, at least 1 more filling dish, a dessert, 2 drinks per person (local alcohol or soft drinks), and all table charges.</t>
  </si>
  <si>
    <t>Participation is entirely at the client's own risk.</t>
  </si>
  <si>
    <t>Tours &amp; Driver menu — tour catalog</t>
  </si>
  <si>
    <t>All tours listed on tokiotours.nl (checked 11 Sept 2026)</t>
  </si>
  <si>
    <t>Tour Name (website)</t>
  </si>
  <si>
    <t>Website Category</t>
  </si>
  <si>
    <t>Priced in
2026 list?</t>
  </si>
  <si>
    <t>URL</t>
  </si>
  <si>
    <t>Tokyo Bicycle Tour</t>
  </si>
  <si>
    <t>Bicycle Tours</t>
  </si>
  <si>
    <t>https://tokiotours.nl/tours/tokyo-bicycle-tour/</t>
  </si>
  <si>
    <t>2 Faces of Tokyo Tour</t>
  </si>
  <si>
    <t>Tokyo Area</t>
  </si>
  <si>
    <t>https://tokiotours.nl/tours/best-private-tokyo-tour/</t>
  </si>
  <si>
    <t>Tokyo's Scariest Shitamachi Ghost Tour</t>
  </si>
  <si>
    <t>Night Tours</t>
  </si>
  <si>
    <t>https://tokiotours.nl/tours/tokyo-ghost-tour/</t>
  </si>
  <si>
    <t>Off the Main Street in Tokyo Tour</t>
  </si>
  <si>
    <t>https://tokiotours.nl/tours/off-the-main-street-in-tokyo-tour/</t>
  </si>
  <si>
    <t>Do Harajuku and Shibuya Like a Local Tour</t>
  </si>
  <si>
    <t>https://tokiotours.nl/tours/harajuku-shibuya-like-a-local-tour/</t>
  </si>
  <si>
    <t>Tokyo Highlights Tour</t>
  </si>
  <si>
    <t>Highlight Tours</t>
  </si>
  <si>
    <t>https://tokiotours.nl/tours/private-tokyo-highlights-tour/</t>
  </si>
  <si>
    <t>Hiking Tour from Tokyo</t>
  </si>
  <si>
    <t>Tokyo (Takao)</t>
  </si>
  <si>
    <t>https://tokiotours.nl/tours/hiking-tour-from-tokyo/</t>
  </si>
  <si>
    <t>Tokyo Cooking Workshop</t>
  </si>
  <si>
    <t>Food Tours</t>
  </si>
  <si>
    <t>https://tokiotours.nl/tours/tokyo-cooking-workshop/</t>
  </si>
  <si>
    <t>Custom Tokyo Tour</t>
  </si>
  <si>
    <t>https://tokiotours.nl/tours/tokyo-custom-tour/</t>
  </si>
  <si>
    <t>Crazy Tokyo Tour</t>
  </si>
  <si>
    <t>https://tokiotours.nl/tours/crazy-tokyo-tour/</t>
  </si>
  <si>
    <t>Dinner Scene Tokyo Food Tour</t>
  </si>
  <si>
    <t>https://tokiotours.nl/tours/dinner-tokyo-food-tour/</t>
  </si>
  <si>
    <t>Kamakura Bicycle Tour</t>
  </si>
  <si>
    <t>https://tokiotours.nl/tours/kamakura-bicycle-tour/</t>
  </si>
  <si>
    <t>Nikko Highlights Tour</t>
  </si>
  <si>
    <t>https://tokiotours.nl/tours/nikko-highlights-tour/</t>
  </si>
  <si>
    <t>Hakone Highlights Tour</t>
  </si>
  <si>
    <t>https://tokiotours.nl/tours/hakone-highlights-tour/</t>
  </si>
  <si>
    <t>Explore Historical Kyoto Tour</t>
  </si>
  <si>
    <t>Kyoto Area</t>
  </si>
  <si>
    <t>https://tokiotours.nl/tours/historical-kyoto-tour/</t>
  </si>
  <si>
    <t>Kyoto Private Bicycle Tour</t>
  </si>
  <si>
    <t>https://tokiotours.nl/tours/kyoto-private-bicycle-tour/</t>
  </si>
  <si>
    <t>Osaka Highlights Private Tour</t>
  </si>
  <si>
    <t>https://tokiotours.nl/tours/osaka-highlights-private-tour/</t>
  </si>
  <si>
    <t>Dinner Scene Osaka Food Tour</t>
  </si>
  <si>
    <t>https://tokiotours.nl/tours/dinner-osaka-food-tour/</t>
  </si>
  <si>
    <t>Nara Highlights Private Tour</t>
  </si>
  <si>
    <t>https://tokiotours.nl/tours/nara-highlights-private-tour/</t>
  </si>
  <si>
    <t>Takayama Highlights Tour</t>
  </si>
  <si>
    <t>Takayama Area</t>
  </si>
  <si>
    <t>https://tokiotours.nl/tours/takayama-highlights-tour/</t>
  </si>
  <si>
    <t>Kanazawa Highlights Tour</t>
  </si>
  <si>
    <t>https://tokiotours.nl/tours/kanazawa-highlights-tour/</t>
  </si>
  <si>
    <t>Hiroshima &amp; Miyajima Highlights Tour</t>
  </si>
  <si>
    <t>Hiroshima Area</t>
  </si>
  <si>
    <t>https://tokiotours.nl/tours/hiroshima-miyajima-highlights-tour/</t>
  </si>
  <si>
    <t>Hiroshima Highlights Tour</t>
  </si>
  <si>
    <t>https://tokiotours.nl/tours/hiroshima-highlights-tour/</t>
  </si>
  <si>
    <t>Miyajima Highlights Tour</t>
  </si>
  <si>
    <t>https://tokiotours.nl/tours/miyajima-highlights-tour/</t>
  </si>
  <si>
    <t>Fukuoka Highlights Tour</t>
  </si>
  <si>
    <t>Kyushu Area</t>
  </si>
  <si>
    <t>https://tokiotours.nl/tours/fukuoka-highlights-tour/</t>
  </si>
  <si>
    <t>Hakodate Highlights Tour</t>
  </si>
  <si>
    <t>Hokkaido Area</t>
  </si>
  <si>
    <t>No — flag for pricing</t>
  </si>
  <si>
    <t>https://tokiotours.nl/tours/hakodate-highlights-tour/</t>
  </si>
  <si>
    <t>No distinctly-named Nagasaki tour page was found across the site's 3 tour-listing pages, even though Nagasaki has internal 2026 pricing — worth checking whether it exists under another name.</t>
  </si>
  <si>
    <t>Tours &amp; Driver menu — vehicle/driver prices</t>
  </si>
  <si>
    <t>EUR/JPY rate used (edit this cell to update every price below):</t>
  </si>
  <si>
    <t>Mid-market EUR/JPY, 11 Sept 2026 (Bloomberg / Yahoo Finance / Xe)</t>
  </si>
  <si>
    <t>Recalculated: yen ÷ rate, then +40% (replaces the old flat €175-margin method)</t>
  </si>
  <si>
    <t>Destination</t>
  </si>
  <si>
    <t>Vehicle</t>
  </si>
  <si>
    <t>Yen Cost
(pay to Kim)</t>
  </si>
  <si>
    <t>EUR equivalent
(yen ÷ rate)</t>
  </si>
  <si>
    <t>Client Price +40%
(€, rounded to €5)</t>
  </si>
  <si>
    <t>Haneda Airport – Tokyo</t>
  </si>
  <si>
    <t>10-seater</t>
  </si>
  <si>
    <t>14-seater</t>
  </si>
  <si>
    <t>Alphard</t>
  </si>
  <si>
    <t>Narita Airport – Tokyo</t>
  </si>
  <si>
    <t>Kansai Airport – Osaka</t>
  </si>
  <si>
    <t>Fuji (pickup/drop-off Tokyo hotel)</t>
  </si>
  <si>
    <t>Hakone (pickup/drop-off Tokyo hotel)</t>
  </si>
  <si>
    <t>Nikko (pickup/drop-off Tokyo hotel)</t>
  </si>
  <si>
    <t>Kanagawa – Kamakura, Enoshima, Yokohama</t>
  </si>
  <si>
    <t>Ine &amp; Amanohashidate (Osaka/Kyoto hotel)</t>
  </si>
  <si>
    <t>Kyoto – Nara (Osaka hotel)</t>
  </si>
  <si>
    <t>Nara – Osaka (Osaka hotel)</t>
  </si>
  <si>
    <t>Kyoto (Osaka hotel)</t>
  </si>
  <si>
    <t>Kyoto (Kyoto hotel)</t>
  </si>
  <si>
    <t>Tokyo tour</t>
  </si>
  <si>
    <t>Monkey Park</t>
  </si>
  <si>
    <t>Kawaguchiko + Hakone</t>
  </si>
  <si>
    <t>Sapporo Airport pickup</t>
  </si>
  <si>
    <t>Nagasaki (14-seater, regional)</t>
  </si>
  <si>
    <t>Kagoshima (14-seater, regional)</t>
  </si>
  <si>
    <t>Capacity &amp; luggage</t>
  </si>
  <si>
    <t>10-seater: max 9 pax; 13–14 suitcases (mixed sizes)</t>
  </si>
  <si>
    <t>14-seater: max 13 pax; no luggage space</t>
  </si>
  <si>
    <t>Alphard (7–8 seater): max 6–7 pax; 4 medium suitcases + 2 carry-on, or 3 large suitcases + 2 carry-on</t>
  </si>
  <si>
    <t>Driver &amp; guide day rates</t>
  </si>
  <si>
    <t>Already in EUR in the source doc — no yen conversion or markup applied (source labelled 'unchanged')</t>
  </si>
  <si>
    <t>Hours</t>
  </si>
  <si>
    <t>Driver (€)</t>
  </si>
  <si>
    <t>Guide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</si>
</sst>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"/>
    <numFmt numFmtId="165" formatCode="\¥0"/>
    <numFmt numFmtId="166" formatCode="\¥#,##0"/>
  </numFmts>
  <fonts count="8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9"/>
      <color rgb="FF777777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/>
    <xf numFmtId="165" fontId="7" fillId="4" borderId="0" xfId="0" applyNumberFormat="1" applyFont="1" applyFill="1"/>
    <xf numFmtId="166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28" customWidth="1"/>
    <col min="2" max="2" width="100" customWidth="1"/>
  </cols>
  <sheetData>
    <row r="1" spans="1:2" ht="23" x14ac:dyDescent="0.25">
      <c r="A1" s="6" t="s">
        <v>0</v>
      </c>
      <c r="B1" s="6"/>
    </row>
    <row r="2" spans="1:2" x14ac:dyDescent="0.2">
      <c r="A2" s="5" t="s">
        <v>1</v>
      </c>
      <c r="B2" s="5"/>
    </row>
    <row r="4" spans="1:2" ht="60" customHeight="1" x14ac:dyDescent="0.2">
      <c r="A4" s="7" t="s">
        <v>2</v>
      </c>
      <c r="B4" s="8" t="s">
        <v>3</v>
      </c>
    </row>
    <row r="5" spans="1:2" ht="60" customHeight="1" x14ac:dyDescent="0.2">
      <c r="A5" s="7" t="s">
        <v>4</v>
      </c>
      <c r="B5" s="8" t="s">
        <v>5</v>
      </c>
    </row>
    <row r="6" spans="1:2" ht="60" customHeight="1" x14ac:dyDescent="0.2">
      <c r="A6" s="7" t="s">
        <v>6</v>
      </c>
      <c r="B6" s="8" t="s">
        <v>7</v>
      </c>
    </row>
    <row r="7" spans="1:2" ht="60" customHeight="1" x14ac:dyDescent="0.2">
      <c r="A7" s="7" t="s">
        <v>8</v>
      </c>
      <c r="B7" s="8" t="s">
        <v>9</v>
      </c>
    </row>
    <row r="8" spans="1:2" ht="60" customHeight="1" x14ac:dyDescent="0.2">
      <c r="A8" s="7" t="s">
        <v>10</v>
      </c>
      <c r="B8" s="8" t="s">
        <v>11</v>
      </c>
    </row>
    <row r="9" spans="1:2" ht="60" customHeight="1" x14ac:dyDescent="0.2">
      <c r="A9" s="7" t="s">
        <v>12</v>
      </c>
      <c r="B9" s="8" t="s">
        <v>13</v>
      </c>
    </row>
    <row r="10" spans="1:2" ht="60" customHeight="1" x14ac:dyDescent="0.2">
      <c r="A10" s="7" t="s">
        <v>14</v>
      </c>
      <c r="B10" s="8" t="s">
        <v>15</v>
      </c>
    </row>
    <row r="11" spans="1:2" ht="60" customHeight="1" x14ac:dyDescent="0.2">
      <c r="A11" s="7" t="s">
        <v>16</v>
      </c>
      <c r="B11" s="8" t="s">
        <v>17</v>
      </c>
    </row>
    <row r="12" spans="1:2" ht="60" customHeight="1" x14ac:dyDescent="0.2">
      <c r="A12" s="7" t="s">
        <v>18</v>
      </c>
      <c r="B12" s="8" t="s">
        <v>19</v>
      </c>
    </row>
  </sheetData>
  <mergeCells count="2">
    <mergeCell ref="A1:B1"/>
    <mergeCell ref="A2:B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8"/>
  <sheetViews>
    <sheetView zoomScaleNormal="100" workbookViewId="0">
      <pane ySplit="4" topLeftCell="A5" activePane="bottomLeft" state="frozen"/>
      <selection pane="bottomLeft" activeCell="B8" sqref="B8"/>
    </sheetView>
  </sheetViews>
  <sheetFormatPr baseColWidth="10" defaultColWidth="8.6640625" defaultRowHeight="15" x14ac:dyDescent="0.2"/>
  <cols>
    <col min="1" max="1" width="16" customWidth="1"/>
    <col min="2" max="2" width="46" customWidth="1"/>
    <col min="3" max="3" width="40" customWidth="1"/>
  </cols>
  <sheetData>
    <row r="1" spans="1:3" ht="20" x14ac:dyDescent="0.2">
      <c r="A1" s="4" t="s">
        <v>20</v>
      </c>
      <c r="B1" s="4"/>
      <c r="C1" s="4"/>
    </row>
    <row r="2" spans="1:3" x14ac:dyDescent="0.2">
      <c r="A2" s="5" t="s">
        <v>21</v>
      </c>
      <c r="B2" s="5"/>
      <c r="C2" s="5"/>
    </row>
    <row r="4" spans="1:3" x14ac:dyDescent="0.2">
      <c r="A4" s="9" t="s">
        <v>22</v>
      </c>
      <c r="B4" s="9" t="s">
        <v>23</v>
      </c>
      <c r="C4" s="9" t="s">
        <v>24</v>
      </c>
    </row>
    <row r="5" spans="1:3" x14ac:dyDescent="0.2">
      <c r="A5" s="10" t="s">
        <v>25</v>
      </c>
      <c r="B5" s="10" t="s">
        <v>26</v>
      </c>
      <c r="C5" s="10" t="s">
        <v>27</v>
      </c>
    </row>
    <row r="6" spans="1:3" x14ac:dyDescent="0.2">
      <c r="A6" s="10" t="s">
        <v>28</v>
      </c>
      <c r="B6" s="10" t="s">
        <v>29</v>
      </c>
      <c r="C6" s="10" t="s">
        <v>30</v>
      </c>
    </row>
    <row r="7" spans="1:3" x14ac:dyDescent="0.2">
      <c r="A7" s="10" t="s">
        <v>31</v>
      </c>
      <c r="B7" s="10" t="s">
        <v>32</v>
      </c>
      <c r="C7" s="10" t="s">
        <v>30</v>
      </c>
    </row>
    <row r="8" spans="1:3" x14ac:dyDescent="0.2">
      <c r="A8" s="10" t="s">
        <v>33</v>
      </c>
      <c r="B8" s="10" t="s">
        <v>34</v>
      </c>
      <c r="C8" s="10" t="s">
        <v>35</v>
      </c>
    </row>
  </sheetData>
  <mergeCells count="2">
    <mergeCell ref="A1:C1"/>
    <mergeCell ref="A2:C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3" width="30" customWidth="1"/>
    <col min="4" max="5" width="20" customWidth="1"/>
    <col min="6" max="6" width="46" customWidth="1"/>
  </cols>
  <sheetData>
    <row r="1" spans="1:6" ht="20" x14ac:dyDescent="0.2">
      <c r="A1" s="4" t="s">
        <v>36</v>
      </c>
      <c r="B1" s="4"/>
      <c r="C1" s="4"/>
      <c r="D1" s="4"/>
      <c r="E1" s="4"/>
      <c r="F1" s="4"/>
    </row>
    <row r="2" spans="1:6" x14ac:dyDescent="0.2">
      <c r="A2" s="5" t="s">
        <v>37</v>
      </c>
      <c r="B2" s="5"/>
      <c r="C2" s="5"/>
      <c r="D2" s="5"/>
      <c r="E2" s="5"/>
      <c r="F2" s="5"/>
    </row>
    <row r="4" spans="1:6" x14ac:dyDescent="0.2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24</v>
      </c>
    </row>
    <row r="5" spans="1:6" x14ac:dyDescent="0.2">
      <c r="A5" s="10" t="s">
        <v>43</v>
      </c>
      <c r="B5" s="10" t="s">
        <v>44</v>
      </c>
      <c r="C5" s="10" t="s">
        <v>45</v>
      </c>
      <c r="D5" s="11">
        <v>220</v>
      </c>
      <c r="E5" s="11">
        <f>D5*1.1</f>
        <v>242.00000000000003</v>
      </c>
      <c r="F5" s="10" t="s">
        <v>46</v>
      </c>
    </row>
    <row r="6" spans="1:6" x14ac:dyDescent="0.2">
      <c r="A6" s="10" t="s">
        <v>47</v>
      </c>
      <c r="B6" s="10" t="s">
        <v>48</v>
      </c>
      <c r="C6" s="10" t="s">
        <v>45</v>
      </c>
      <c r="D6" s="11">
        <v>160</v>
      </c>
      <c r="E6" s="11">
        <f>D6*1.1</f>
        <v>176</v>
      </c>
      <c r="F6" s="10" t="s">
        <v>46</v>
      </c>
    </row>
    <row r="7" spans="1:6" x14ac:dyDescent="0.2">
      <c r="A7" s="10" t="s">
        <v>49</v>
      </c>
      <c r="B7" s="10" t="s">
        <v>50</v>
      </c>
      <c r="C7" s="10" t="s">
        <v>45</v>
      </c>
      <c r="D7" s="11">
        <v>210</v>
      </c>
      <c r="E7" s="11">
        <f>D7*1.1</f>
        <v>231.00000000000003</v>
      </c>
      <c r="F7" s="10" t="s">
        <v>46</v>
      </c>
    </row>
    <row r="8" spans="1:6" x14ac:dyDescent="0.2">
      <c r="A8" s="10" t="s">
        <v>51</v>
      </c>
      <c r="B8" s="10" t="s">
        <v>52</v>
      </c>
      <c r="C8" s="10" t="s">
        <v>53</v>
      </c>
      <c r="D8" s="11">
        <v>130</v>
      </c>
      <c r="E8" s="11">
        <f>D8*1.1</f>
        <v>143</v>
      </c>
      <c r="F8" s="10" t="s">
        <v>54</v>
      </c>
    </row>
    <row r="10" spans="1:6" x14ac:dyDescent="0.2">
      <c r="A10" s="12" t="s">
        <v>55</v>
      </c>
    </row>
    <row r="11" spans="1:6" ht="15" customHeight="1" x14ac:dyDescent="0.2">
      <c r="A11" s="3" t="s">
        <v>56</v>
      </c>
      <c r="B11" s="3"/>
      <c r="C11" s="3"/>
      <c r="D11" s="3"/>
      <c r="E11" s="3"/>
      <c r="F11" s="3"/>
    </row>
    <row r="12" spans="1:6" ht="15" customHeight="1" x14ac:dyDescent="0.2">
      <c r="A12" s="3" t="s">
        <v>57</v>
      </c>
      <c r="B12" s="3"/>
      <c r="C12" s="3"/>
      <c r="D12" s="3"/>
      <c r="E12" s="3"/>
      <c r="F12" s="3"/>
    </row>
    <row r="13" spans="1:6" ht="15" customHeight="1" x14ac:dyDescent="0.2">
      <c r="A13" s="3" t="s">
        <v>58</v>
      </c>
      <c r="B13" s="3"/>
      <c r="C13" s="3"/>
      <c r="D13" s="3"/>
      <c r="E13" s="3"/>
      <c r="F13" s="3"/>
    </row>
    <row r="14" spans="1:6" ht="15" customHeight="1" x14ac:dyDescent="0.2">
      <c r="A14" s="3" t="s">
        <v>59</v>
      </c>
      <c r="B14" s="3"/>
      <c r="C14" s="3"/>
      <c r="D14" s="3"/>
      <c r="E14" s="3"/>
      <c r="F14" s="3"/>
    </row>
  </sheetData>
  <mergeCells count="6">
    <mergeCell ref="A14:F14"/>
    <mergeCell ref="A1:F1"/>
    <mergeCell ref="A2:F2"/>
    <mergeCell ref="A11:F11"/>
    <mergeCell ref="A12:F12"/>
    <mergeCell ref="A13:F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9"/>
  <sheetViews>
    <sheetView zoomScaleNormal="100" workbookViewId="0">
      <pane ySplit="4" topLeftCell="A5" activePane="bottomLeft" state="frozen"/>
      <selection pane="bottomLeft" activeCell="D23" sqref="D23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14" customWidth="1"/>
    <col min="4" max="4" width="46" customWidth="1"/>
  </cols>
  <sheetData>
    <row r="1" spans="1:4" ht="20" x14ac:dyDescent="0.2">
      <c r="A1" s="4" t="s">
        <v>60</v>
      </c>
      <c r="B1" s="4"/>
      <c r="C1" s="4"/>
      <c r="D1" s="4"/>
    </row>
    <row r="2" spans="1:4" x14ac:dyDescent="0.2">
      <c r="A2" s="5" t="s">
        <v>61</v>
      </c>
      <c r="B2" s="5"/>
      <c r="C2" s="5"/>
      <c r="D2" s="5"/>
    </row>
    <row r="4" spans="1:4" ht="30" x14ac:dyDescent="0.2">
      <c r="A4" s="9" t="s">
        <v>62</v>
      </c>
      <c r="B4" s="9" t="s">
        <v>63</v>
      </c>
      <c r="C4" s="9" t="s">
        <v>64</v>
      </c>
      <c r="D4" s="9" t="s">
        <v>24</v>
      </c>
    </row>
    <row r="5" spans="1:4" ht="28" x14ac:dyDescent="0.2">
      <c r="A5" s="10" t="s">
        <v>65</v>
      </c>
      <c r="B5" s="10" t="s">
        <v>66</v>
      </c>
      <c r="C5" s="10" t="s">
        <v>67</v>
      </c>
      <c r="D5" s="13" t="s">
        <v>68</v>
      </c>
    </row>
    <row r="6" spans="1:4" x14ac:dyDescent="0.2">
      <c r="A6" s="10" t="s">
        <v>69</v>
      </c>
      <c r="B6" s="10" t="s">
        <v>66</v>
      </c>
      <c r="C6" s="10" t="s">
        <v>70</v>
      </c>
      <c r="D6" s="13" t="s">
        <v>71</v>
      </c>
    </row>
    <row r="7" spans="1:4" x14ac:dyDescent="0.2">
      <c r="A7" s="10" t="s">
        <v>72</v>
      </c>
      <c r="B7" s="10" t="s">
        <v>66</v>
      </c>
      <c r="C7" s="10" t="s">
        <v>67</v>
      </c>
      <c r="D7" s="13" t="s">
        <v>73</v>
      </c>
    </row>
    <row r="8" spans="1:4" x14ac:dyDescent="0.2">
      <c r="A8" s="10" t="s">
        <v>74</v>
      </c>
      <c r="B8" s="10" t="s">
        <v>66</v>
      </c>
      <c r="C8" s="10" t="s">
        <v>67</v>
      </c>
      <c r="D8" s="13" t="s">
        <v>75</v>
      </c>
    </row>
    <row r="9" spans="1:4" x14ac:dyDescent="0.2">
      <c r="A9" s="10" t="s">
        <v>76</v>
      </c>
      <c r="B9" s="10" t="s">
        <v>77</v>
      </c>
      <c r="C9" s="10" t="s">
        <v>67</v>
      </c>
      <c r="D9" s="13" t="s">
        <v>78</v>
      </c>
    </row>
    <row r="10" spans="1:4" x14ac:dyDescent="0.2">
      <c r="A10" s="10" t="s">
        <v>79</v>
      </c>
      <c r="B10" s="10" t="s">
        <v>80</v>
      </c>
      <c r="C10" s="10" t="s">
        <v>67</v>
      </c>
      <c r="D10" s="13"/>
    </row>
    <row r="11" spans="1:4" x14ac:dyDescent="0.2">
      <c r="A11" s="10" t="s">
        <v>81</v>
      </c>
      <c r="B11" s="10" t="s">
        <v>80</v>
      </c>
      <c r="C11" s="10" t="s">
        <v>67</v>
      </c>
      <c r="D11" s="13"/>
    </row>
    <row r="12" spans="1:4" ht="28" x14ac:dyDescent="0.2">
      <c r="A12" s="10" t="s">
        <v>82</v>
      </c>
      <c r="B12" s="10" t="s">
        <v>80</v>
      </c>
      <c r="C12" s="10" t="s">
        <v>70</v>
      </c>
      <c r="D12" s="13" t="s">
        <v>83</v>
      </c>
    </row>
    <row r="13" spans="1:4" x14ac:dyDescent="0.2">
      <c r="A13" s="10" t="s">
        <v>84</v>
      </c>
      <c r="B13" s="10" t="s">
        <v>85</v>
      </c>
      <c r="C13" s="10" t="s">
        <v>67</v>
      </c>
      <c r="D13" s="13"/>
    </row>
    <row r="14" spans="1:4" x14ac:dyDescent="0.2">
      <c r="A14" s="10" t="s">
        <v>86</v>
      </c>
      <c r="B14" s="10" t="s">
        <v>85</v>
      </c>
      <c r="C14" s="10" t="s">
        <v>67</v>
      </c>
      <c r="D14" s="13"/>
    </row>
    <row r="15" spans="1:4" x14ac:dyDescent="0.2">
      <c r="A15" s="10" t="s">
        <v>87</v>
      </c>
      <c r="B15" s="10" t="s">
        <v>88</v>
      </c>
      <c r="C15" s="10" t="s">
        <v>67</v>
      </c>
      <c r="D15" s="13"/>
    </row>
    <row r="16" spans="1:4" x14ac:dyDescent="0.2">
      <c r="A16" s="10" t="s">
        <v>89</v>
      </c>
      <c r="B16" s="10" t="s">
        <v>88</v>
      </c>
      <c r="C16" s="10" t="s">
        <v>67</v>
      </c>
      <c r="D16" s="13" t="s">
        <v>90</v>
      </c>
    </row>
    <row r="17" spans="1:4" x14ac:dyDescent="0.2">
      <c r="A17" s="10" t="s">
        <v>91</v>
      </c>
      <c r="B17" s="10" t="s">
        <v>92</v>
      </c>
      <c r="C17" s="10" t="s">
        <v>67</v>
      </c>
      <c r="D17" s="13"/>
    </row>
    <row r="18" spans="1:4" x14ac:dyDescent="0.2">
      <c r="A18" s="10" t="s">
        <v>93</v>
      </c>
      <c r="B18" s="10" t="s">
        <v>92</v>
      </c>
      <c r="C18" s="10" t="s">
        <v>67</v>
      </c>
      <c r="D18" s="13"/>
    </row>
    <row r="19" spans="1:4" ht="28" x14ac:dyDescent="0.2">
      <c r="A19" s="10" t="s">
        <v>94</v>
      </c>
      <c r="B19" s="10" t="s">
        <v>95</v>
      </c>
      <c r="C19" s="10" t="s">
        <v>67</v>
      </c>
      <c r="D19" s="13" t="s">
        <v>96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8"/>
  <sheetViews>
    <sheetView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70" customWidth="1"/>
  </cols>
  <sheetData>
    <row r="1" spans="1:3" ht="20" x14ac:dyDescent="0.2">
      <c r="A1" s="4" t="s">
        <v>97</v>
      </c>
      <c r="B1" s="4"/>
      <c r="C1" s="4"/>
    </row>
    <row r="2" spans="1:3" x14ac:dyDescent="0.2">
      <c r="A2" s="5" t="s">
        <v>98</v>
      </c>
      <c r="B2" s="5"/>
      <c r="C2" s="5"/>
    </row>
    <row r="4" spans="1:3" x14ac:dyDescent="0.2">
      <c r="A4" s="9" t="s">
        <v>99</v>
      </c>
      <c r="B4" s="9" t="s">
        <v>100</v>
      </c>
      <c r="C4" s="9" t="s">
        <v>24</v>
      </c>
    </row>
    <row r="5" spans="1:3" x14ac:dyDescent="0.2">
      <c r="A5" s="10" t="s">
        <v>101</v>
      </c>
      <c r="B5" s="10" t="s">
        <v>102</v>
      </c>
      <c r="C5" s="13" t="s">
        <v>103</v>
      </c>
    </row>
    <row r="6" spans="1:3" x14ac:dyDescent="0.2">
      <c r="A6" s="10" t="s">
        <v>104</v>
      </c>
      <c r="B6" s="10" t="s">
        <v>102</v>
      </c>
      <c r="C6" s="13" t="s">
        <v>105</v>
      </c>
    </row>
    <row r="7" spans="1:3" x14ac:dyDescent="0.2">
      <c r="A7" s="10" t="s">
        <v>106</v>
      </c>
      <c r="B7" s="10" t="s">
        <v>107</v>
      </c>
      <c r="C7" s="13" t="s">
        <v>108</v>
      </c>
    </row>
    <row r="8" spans="1:3" x14ac:dyDescent="0.2">
      <c r="A8" s="10" t="s">
        <v>109</v>
      </c>
      <c r="B8" s="10" t="s">
        <v>107</v>
      </c>
      <c r="C8" s="13" t="s">
        <v>110</v>
      </c>
    </row>
    <row r="9" spans="1:3" x14ac:dyDescent="0.2">
      <c r="A9" s="10" t="s">
        <v>111</v>
      </c>
      <c r="B9" s="10" t="s">
        <v>107</v>
      </c>
      <c r="C9" s="13" t="s">
        <v>112</v>
      </c>
    </row>
    <row r="10" spans="1:3" x14ac:dyDescent="0.2">
      <c r="A10" s="10" t="s">
        <v>113</v>
      </c>
      <c r="B10" s="10" t="s">
        <v>102</v>
      </c>
      <c r="C10" s="13" t="s">
        <v>114</v>
      </c>
    </row>
    <row r="11" spans="1:3" x14ac:dyDescent="0.2">
      <c r="A11" s="10" t="s">
        <v>115</v>
      </c>
      <c r="B11" s="10" t="s">
        <v>116</v>
      </c>
      <c r="C11" s="13" t="s">
        <v>117</v>
      </c>
    </row>
    <row r="12" spans="1:3" ht="28" x14ac:dyDescent="0.2">
      <c r="A12" s="10" t="s">
        <v>118</v>
      </c>
      <c r="B12" s="10" t="s">
        <v>116</v>
      </c>
      <c r="C12" s="13" t="s">
        <v>119</v>
      </c>
    </row>
    <row r="13" spans="1:3" x14ac:dyDescent="0.2">
      <c r="A13" s="10" t="s">
        <v>120</v>
      </c>
      <c r="B13" s="10" t="s">
        <v>102</v>
      </c>
      <c r="C13" s="13" t="s">
        <v>121</v>
      </c>
    </row>
    <row r="14" spans="1:3" x14ac:dyDescent="0.2">
      <c r="A14" s="10" t="s">
        <v>122</v>
      </c>
      <c r="B14" s="10" t="s">
        <v>116</v>
      </c>
      <c r="C14" s="13" t="s">
        <v>123</v>
      </c>
    </row>
    <row r="15" spans="1:3" ht="28" x14ac:dyDescent="0.2">
      <c r="A15" s="10" t="s">
        <v>124</v>
      </c>
      <c r="B15" s="10" t="s">
        <v>107</v>
      </c>
      <c r="C15" s="13" t="s">
        <v>125</v>
      </c>
    </row>
    <row r="16" spans="1:3" x14ac:dyDescent="0.2">
      <c r="A16" s="10" t="s">
        <v>126</v>
      </c>
      <c r="B16" s="10" t="s">
        <v>116</v>
      </c>
      <c r="C16" s="13" t="s">
        <v>127</v>
      </c>
    </row>
    <row r="18" spans="1:3" ht="15" customHeight="1" x14ac:dyDescent="0.2">
      <c r="A18" s="3" t="s">
        <v>128</v>
      </c>
      <c r="B18" s="3"/>
      <c r="C18" s="3"/>
    </row>
  </sheetData>
  <mergeCells count="3">
    <mergeCell ref="A1:C1"/>
    <mergeCell ref="A2:C2"/>
    <mergeCell ref="A18:C1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0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5" x14ac:dyDescent="0.2"/>
  <cols>
    <col min="1" max="1" width="20" customWidth="1"/>
    <col min="2" max="2" width="12" customWidth="1"/>
    <col min="3" max="6" width="15" customWidth="1"/>
    <col min="7" max="7" width="50" customWidth="1"/>
  </cols>
  <sheetData>
    <row r="1" spans="1:7" ht="20" x14ac:dyDescent="0.2">
      <c r="A1" s="4" t="s">
        <v>129</v>
      </c>
      <c r="B1" s="4"/>
      <c r="C1" s="4"/>
      <c r="D1" s="4"/>
      <c r="E1" s="4"/>
      <c r="F1" s="4"/>
      <c r="G1" s="4"/>
    </row>
    <row r="2" spans="1:7" x14ac:dyDescent="0.2">
      <c r="A2" s="5" t="s">
        <v>130</v>
      </c>
      <c r="B2" s="5"/>
      <c r="C2" s="5"/>
      <c r="D2" s="5"/>
      <c r="E2" s="5"/>
      <c r="F2" s="5"/>
      <c r="G2" s="5"/>
    </row>
    <row r="4" spans="1:7" ht="30" x14ac:dyDescent="0.2">
      <c r="A4" s="9" t="s">
        <v>131</v>
      </c>
      <c r="B4" s="9" t="s">
        <v>132</v>
      </c>
      <c r="C4" s="9" t="s">
        <v>133</v>
      </c>
      <c r="D4" s="9" t="s">
        <v>134</v>
      </c>
      <c r="E4" s="9" t="s">
        <v>135</v>
      </c>
      <c r="F4" s="9" t="s">
        <v>136</v>
      </c>
      <c r="G4" s="9" t="s">
        <v>137</v>
      </c>
    </row>
    <row r="5" spans="1:7" ht="28" x14ac:dyDescent="0.2">
      <c r="A5" s="10" t="s">
        <v>65</v>
      </c>
      <c r="B5" s="10" t="s">
        <v>138</v>
      </c>
      <c r="C5" s="11">
        <v>110</v>
      </c>
      <c r="D5" s="11">
        <v>160</v>
      </c>
      <c r="E5" s="11">
        <v>160</v>
      </c>
      <c r="F5" s="11">
        <v>230</v>
      </c>
      <c r="G5" s="13" t="s">
        <v>139</v>
      </c>
    </row>
    <row r="6" spans="1:7" ht="28" x14ac:dyDescent="0.2">
      <c r="A6" s="10" t="s">
        <v>65</v>
      </c>
      <c r="B6" s="10" t="s">
        <v>140</v>
      </c>
      <c r="C6" s="11">
        <v>220</v>
      </c>
      <c r="D6" s="11">
        <v>320</v>
      </c>
      <c r="E6" s="11">
        <v>320</v>
      </c>
      <c r="F6" s="11">
        <v>520</v>
      </c>
      <c r="G6" s="13" t="s">
        <v>141</v>
      </c>
    </row>
    <row r="7" spans="1:7" ht="28" x14ac:dyDescent="0.2">
      <c r="A7" s="10" t="s">
        <v>79</v>
      </c>
      <c r="B7" s="10" t="s">
        <v>138</v>
      </c>
      <c r="C7" s="11">
        <v>90</v>
      </c>
      <c r="D7" s="11">
        <v>140</v>
      </c>
      <c r="E7" s="11">
        <v>140</v>
      </c>
      <c r="F7" s="11">
        <v>220</v>
      </c>
      <c r="G7" s="13" t="s">
        <v>142</v>
      </c>
    </row>
    <row r="8" spans="1:7" ht="42" x14ac:dyDescent="0.2">
      <c r="A8" s="10" t="s">
        <v>79</v>
      </c>
      <c r="B8" s="10" t="s">
        <v>140</v>
      </c>
      <c r="C8" s="11">
        <v>260</v>
      </c>
      <c r="D8" s="11">
        <v>400</v>
      </c>
      <c r="E8" s="11">
        <v>400</v>
      </c>
      <c r="F8" s="11">
        <v>750</v>
      </c>
      <c r="G8" s="13" t="s">
        <v>143</v>
      </c>
    </row>
    <row r="9" spans="1:7" x14ac:dyDescent="0.2">
      <c r="A9" s="10" t="s">
        <v>81</v>
      </c>
      <c r="B9" s="10" t="s">
        <v>138</v>
      </c>
      <c r="C9" s="11">
        <v>75</v>
      </c>
      <c r="D9" s="11">
        <v>130</v>
      </c>
      <c r="E9" s="11">
        <v>130</v>
      </c>
      <c r="F9" s="11">
        <v>215</v>
      </c>
      <c r="G9" s="13" t="s">
        <v>144</v>
      </c>
    </row>
    <row r="10" spans="1:7" x14ac:dyDescent="0.2">
      <c r="A10" s="10" t="s">
        <v>81</v>
      </c>
      <c r="B10" s="10" t="s">
        <v>140</v>
      </c>
      <c r="C10" s="11">
        <v>150</v>
      </c>
      <c r="D10" s="11">
        <v>220</v>
      </c>
      <c r="E10" s="11">
        <v>220</v>
      </c>
      <c r="F10" s="11">
        <v>320</v>
      </c>
      <c r="G10" s="13"/>
    </row>
    <row r="11" spans="1:7" ht="28" x14ac:dyDescent="0.2">
      <c r="A11" s="10" t="s">
        <v>74</v>
      </c>
      <c r="B11" s="10" t="s">
        <v>138</v>
      </c>
      <c r="C11" s="11">
        <v>140</v>
      </c>
      <c r="D11" s="11">
        <v>200</v>
      </c>
      <c r="E11" s="11">
        <v>200</v>
      </c>
      <c r="F11" s="11">
        <v>320</v>
      </c>
      <c r="G11" s="13" t="s">
        <v>145</v>
      </c>
    </row>
    <row r="12" spans="1:7" ht="28" x14ac:dyDescent="0.2">
      <c r="A12" s="10" t="s">
        <v>74</v>
      </c>
      <c r="B12" s="10" t="s">
        <v>140</v>
      </c>
      <c r="C12" s="11">
        <v>280</v>
      </c>
      <c r="D12" s="11">
        <v>400</v>
      </c>
      <c r="E12" s="11">
        <v>400</v>
      </c>
      <c r="F12" s="11">
        <v>650</v>
      </c>
      <c r="G12" s="13" t="s">
        <v>146</v>
      </c>
    </row>
    <row r="13" spans="1:7" x14ac:dyDescent="0.2">
      <c r="A13" s="10" t="s">
        <v>76</v>
      </c>
      <c r="B13" s="10" t="s">
        <v>138</v>
      </c>
      <c r="C13" s="11">
        <v>140</v>
      </c>
      <c r="D13" s="11">
        <v>200</v>
      </c>
      <c r="E13" s="11">
        <v>200</v>
      </c>
      <c r="F13" s="11">
        <v>300</v>
      </c>
      <c r="G13" s="13" t="s">
        <v>147</v>
      </c>
    </row>
    <row r="14" spans="1:7" x14ac:dyDescent="0.2">
      <c r="A14" s="10" t="s">
        <v>76</v>
      </c>
      <c r="B14" s="10" t="s">
        <v>140</v>
      </c>
      <c r="C14" s="11">
        <v>280</v>
      </c>
      <c r="D14" s="11">
        <v>420</v>
      </c>
      <c r="E14" s="11">
        <v>420</v>
      </c>
      <c r="F14" s="11">
        <v>650</v>
      </c>
      <c r="G14" s="13" t="s">
        <v>148</v>
      </c>
    </row>
    <row r="15" spans="1:7" x14ac:dyDescent="0.2">
      <c r="A15" s="10" t="s">
        <v>72</v>
      </c>
      <c r="B15" s="10" t="s">
        <v>138</v>
      </c>
      <c r="C15" s="11">
        <v>100</v>
      </c>
      <c r="D15" s="11">
        <v>150</v>
      </c>
      <c r="E15" s="11">
        <v>150</v>
      </c>
      <c r="F15" s="11">
        <v>230</v>
      </c>
      <c r="G15" s="13" t="s">
        <v>149</v>
      </c>
    </row>
    <row r="16" spans="1:7" x14ac:dyDescent="0.2">
      <c r="A16" s="10" t="s">
        <v>72</v>
      </c>
      <c r="B16" s="10" t="s">
        <v>140</v>
      </c>
      <c r="C16" s="11">
        <v>200</v>
      </c>
      <c r="D16" s="11">
        <v>300</v>
      </c>
      <c r="E16" s="11">
        <v>300</v>
      </c>
      <c r="F16" s="11">
        <v>450</v>
      </c>
      <c r="G16" s="13"/>
    </row>
    <row r="17" spans="1:7" x14ac:dyDescent="0.2">
      <c r="A17" s="10" t="s">
        <v>86</v>
      </c>
      <c r="B17" s="10" t="s">
        <v>138</v>
      </c>
      <c r="C17" s="11">
        <v>75</v>
      </c>
      <c r="D17" s="11">
        <v>120</v>
      </c>
      <c r="E17" s="11">
        <v>130</v>
      </c>
      <c r="F17" s="11">
        <v>190</v>
      </c>
      <c r="G17" s="13" t="s">
        <v>150</v>
      </c>
    </row>
    <row r="18" spans="1:7" ht="28" x14ac:dyDescent="0.2">
      <c r="A18" s="10" t="s">
        <v>86</v>
      </c>
      <c r="B18" s="10" t="s">
        <v>140</v>
      </c>
      <c r="C18" s="11">
        <v>150</v>
      </c>
      <c r="D18" s="11">
        <v>220</v>
      </c>
      <c r="E18" s="11">
        <v>220</v>
      </c>
      <c r="F18" s="11">
        <v>350</v>
      </c>
      <c r="G18" s="13" t="s">
        <v>151</v>
      </c>
    </row>
    <row r="19" spans="1:7" ht="28" x14ac:dyDescent="0.2">
      <c r="A19" s="10" t="s">
        <v>84</v>
      </c>
      <c r="B19" s="10" t="s">
        <v>138</v>
      </c>
      <c r="C19" s="11">
        <v>80</v>
      </c>
      <c r="D19" s="11">
        <v>130</v>
      </c>
      <c r="E19" s="11">
        <v>150</v>
      </c>
      <c r="F19" s="11">
        <v>220</v>
      </c>
      <c r="G19" s="13" t="s">
        <v>152</v>
      </c>
    </row>
    <row r="20" spans="1:7" x14ac:dyDescent="0.2">
      <c r="A20" s="10" t="s">
        <v>84</v>
      </c>
      <c r="B20" s="10" t="s">
        <v>140</v>
      </c>
      <c r="C20" s="11">
        <v>200</v>
      </c>
      <c r="D20" s="11">
        <v>300</v>
      </c>
      <c r="E20" s="11">
        <v>300</v>
      </c>
      <c r="F20" s="11">
        <v>470</v>
      </c>
      <c r="G20" s="13" t="s">
        <v>153</v>
      </c>
    </row>
    <row r="21" spans="1:7" x14ac:dyDescent="0.2">
      <c r="A21" s="10" t="s">
        <v>87</v>
      </c>
      <c r="B21" s="10" t="s">
        <v>138</v>
      </c>
      <c r="C21" s="11">
        <v>60</v>
      </c>
      <c r="D21" s="11">
        <v>100</v>
      </c>
      <c r="E21" s="11">
        <v>100</v>
      </c>
      <c r="F21" s="11">
        <v>150</v>
      </c>
      <c r="G21" s="13"/>
    </row>
    <row r="22" spans="1:7" x14ac:dyDescent="0.2">
      <c r="A22" s="10" t="s">
        <v>87</v>
      </c>
      <c r="B22" s="10" t="s">
        <v>140</v>
      </c>
      <c r="C22" s="11">
        <v>130</v>
      </c>
      <c r="D22" s="11">
        <v>200</v>
      </c>
      <c r="E22" s="11">
        <v>200</v>
      </c>
      <c r="F22" s="11">
        <v>370</v>
      </c>
      <c r="G22" s="13"/>
    </row>
    <row r="23" spans="1:7" ht="28" x14ac:dyDescent="0.2">
      <c r="A23" s="10" t="s">
        <v>89</v>
      </c>
      <c r="B23" s="10" t="s">
        <v>138</v>
      </c>
      <c r="C23" s="11">
        <v>70</v>
      </c>
      <c r="D23" s="11">
        <v>120</v>
      </c>
      <c r="E23" s="11">
        <v>120</v>
      </c>
      <c r="F23" s="11">
        <v>180</v>
      </c>
      <c r="G23" s="13" t="s">
        <v>154</v>
      </c>
    </row>
    <row r="24" spans="1:7" x14ac:dyDescent="0.2">
      <c r="A24" s="10" t="s">
        <v>89</v>
      </c>
      <c r="B24" s="10" t="s">
        <v>140</v>
      </c>
      <c r="C24" s="11">
        <v>150</v>
      </c>
      <c r="D24" s="11">
        <v>250</v>
      </c>
      <c r="E24" s="11">
        <v>250</v>
      </c>
      <c r="F24" s="11">
        <v>400</v>
      </c>
      <c r="G24" s="13"/>
    </row>
    <row r="25" spans="1:7" x14ac:dyDescent="0.2">
      <c r="A25" s="10" t="s">
        <v>91</v>
      </c>
      <c r="B25" s="10" t="s">
        <v>138</v>
      </c>
      <c r="C25" s="11">
        <v>90</v>
      </c>
      <c r="D25" s="11">
        <v>150</v>
      </c>
      <c r="E25" s="11">
        <v>150</v>
      </c>
      <c r="F25" s="11">
        <v>260</v>
      </c>
      <c r="G25" s="13" t="s">
        <v>155</v>
      </c>
    </row>
    <row r="26" spans="1:7" x14ac:dyDescent="0.2">
      <c r="A26" s="10" t="s">
        <v>91</v>
      </c>
      <c r="B26" s="10" t="s">
        <v>140</v>
      </c>
      <c r="C26" s="11">
        <v>150</v>
      </c>
      <c r="D26" s="11">
        <v>230</v>
      </c>
      <c r="E26" s="11">
        <v>230</v>
      </c>
      <c r="F26" s="11">
        <v>450</v>
      </c>
      <c r="G26" s="13"/>
    </row>
    <row r="27" spans="1:7" x14ac:dyDescent="0.2">
      <c r="A27" s="10" t="s">
        <v>93</v>
      </c>
      <c r="B27" s="10" t="s">
        <v>138</v>
      </c>
      <c r="C27" s="11">
        <v>65</v>
      </c>
      <c r="D27" s="11">
        <v>100</v>
      </c>
      <c r="E27" s="11">
        <v>100</v>
      </c>
      <c r="F27" s="11">
        <v>160</v>
      </c>
      <c r="G27" s="13" t="s">
        <v>156</v>
      </c>
    </row>
    <row r="28" spans="1:7" x14ac:dyDescent="0.2">
      <c r="A28" s="10" t="s">
        <v>93</v>
      </c>
      <c r="B28" s="10" t="s">
        <v>140</v>
      </c>
      <c r="C28" s="11">
        <v>110</v>
      </c>
      <c r="D28" s="11">
        <v>170</v>
      </c>
      <c r="E28" s="11">
        <v>170</v>
      </c>
      <c r="F28" s="11">
        <v>260</v>
      </c>
      <c r="G28" s="13" t="s">
        <v>157</v>
      </c>
    </row>
    <row r="29" spans="1:7" ht="28" x14ac:dyDescent="0.2">
      <c r="A29" s="10" t="s">
        <v>94</v>
      </c>
      <c r="B29" s="10" t="s">
        <v>138</v>
      </c>
      <c r="C29" s="11">
        <v>140</v>
      </c>
      <c r="D29" s="11">
        <v>200</v>
      </c>
      <c r="E29" s="11">
        <v>220</v>
      </c>
      <c r="F29" s="11">
        <v>320</v>
      </c>
      <c r="G29" s="13" t="s">
        <v>158</v>
      </c>
    </row>
    <row r="30" spans="1:7" x14ac:dyDescent="0.2">
      <c r="A30" s="10" t="s">
        <v>94</v>
      </c>
      <c r="B30" s="10" t="s">
        <v>140</v>
      </c>
      <c r="C30" s="11">
        <v>260</v>
      </c>
      <c r="D30" s="11">
        <v>400</v>
      </c>
      <c r="E30" s="11">
        <v>400</v>
      </c>
      <c r="F30" s="11">
        <v>650</v>
      </c>
      <c r="G30" s="13" t="s">
        <v>159</v>
      </c>
    </row>
  </sheetData>
  <mergeCells count="2">
    <mergeCell ref="A1:G1"/>
    <mergeCell ref="A2:G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8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22" customWidth="1"/>
    <col min="2" max="2" width="40" customWidth="1"/>
    <col min="3" max="3" width="8" customWidth="1"/>
    <col min="4" max="4" width="18" customWidth="1"/>
    <col min="5" max="5" width="16" customWidth="1"/>
    <col min="6" max="6" width="40" customWidth="1"/>
  </cols>
  <sheetData>
    <row r="1" spans="1:6" ht="20" x14ac:dyDescent="0.2">
      <c r="A1" s="4" t="s">
        <v>160</v>
      </c>
      <c r="B1" s="4"/>
      <c r="C1" s="4"/>
      <c r="D1" s="4"/>
      <c r="E1" s="4"/>
      <c r="F1" s="4"/>
    </row>
    <row r="2" spans="1:6" x14ac:dyDescent="0.2">
      <c r="A2" s="5" t="s">
        <v>161</v>
      </c>
      <c r="B2" s="5"/>
      <c r="C2" s="5"/>
      <c r="D2" s="5"/>
      <c r="E2" s="5"/>
      <c r="F2" s="5"/>
    </row>
    <row r="4" spans="1:6" x14ac:dyDescent="0.2">
      <c r="A4" s="9" t="s">
        <v>162</v>
      </c>
      <c r="B4" s="9" t="s">
        <v>163</v>
      </c>
      <c r="C4" s="9" t="s">
        <v>164</v>
      </c>
      <c r="D4" s="9" t="s">
        <v>41</v>
      </c>
      <c r="E4" s="9" t="s">
        <v>42</v>
      </c>
      <c r="F4" s="9" t="s">
        <v>24</v>
      </c>
    </row>
    <row r="5" spans="1:6" x14ac:dyDescent="0.2">
      <c r="A5" s="10" t="s">
        <v>65</v>
      </c>
      <c r="B5" s="10" t="s">
        <v>165</v>
      </c>
      <c r="C5" s="10">
        <v>2</v>
      </c>
      <c r="D5" s="11">
        <v>290</v>
      </c>
      <c r="E5" s="11">
        <f t="shared" ref="E5:E36" si="0">D5*1.1</f>
        <v>319</v>
      </c>
      <c r="F5" s="13"/>
    </row>
    <row r="6" spans="1:6" x14ac:dyDescent="0.2">
      <c r="A6" s="10" t="s">
        <v>65</v>
      </c>
      <c r="B6" s="10" t="s">
        <v>165</v>
      </c>
      <c r="C6" s="10">
        <v>3</v>
      </c>
      <c r="D6" s="11">
        <v>310</v>
      </c>
      <c r="E6" s="11">
        <f t="shared" si="0"/>
        <v>341</v>
      </c>
      <c r="F6" s="13"/>
    </row>
    <row r="7" spans="1:6" x14ac:dyDescent="0.2">
      <c r="A7" s="10" t="s">
        <v>65</v>
      </c>
      <c r="B7" s="10" t="s">
        <v>165</v>
      </c>
      <c r="C7" s="10">
        <v>4</v>
      </c>
      <c r="D7" s="11">
        <v>360</v>
      </c>
      <c r="E7" s="11">
        <f t="shared" si="0"/>
        <v>396.00000000000006</v>
      </c>
      <c r="F7" s="13"/>
    </row>
    <row r="8" spans="1:6" x14ac:dyDescent="0.2">
      <c r="A8" s="10" t="s">
        <v>65</v>
      </c>
      <c r="B8" s="10" t="s">
        <v>166</v>
      </c>
      <c r="C8" s="10">
        <v>2</v>
      </c>
      <c r="D8" s="11">
        <v>370</v>
      </c>
      <c r="E8" s="11">
        <f t="shared" si="0"/>
        <v>407.00000000000006</v>
      </c>
      <c r="F8" s="13"/>
    </row>
    <row r="9" spans="1:6" x14ac:dyDescent="0.2">
      <c r="A9" s="10" t="s">
        <v>65</v>
      </c>
      <c r="B9" s="10" t="s">
        <v>166</v>
      </c>
      <c r="C9" s="10">
        <v>3</v>
      </c>
      <c r="D9" s="11">
        <v>400</v>
      </c>
      <c r="E9" s="11">
        <f t="shared" si="0"/>
        <v>440.00000000000006</v>
      </c>
      <c r="F9" s="13"/>
    </row>
    <row r="10" spans="1:6" x14ac:dyDescent="0.2">
      <c r="A10" s="10" t="s">
        <v>65</v>
      </c>
      <c r="B10" s="10" t="s">
        <v>166</v>
      </c>
      <c r="C10" s="10">
        <v>4</v>
      </c>
      <c r="D10" s="11">
        <v>430</v>
      </c>
      <c r="E10" s="11">
        <f t="shared" si="0"/>
        <v>473.00000000000006</v>
      </c>
      <c r="F10" s="13"/>
    </row>
    <row r="11" spans="1:6" ht="28" x14ac:dyDescent="0.2">
      <c r="A11" s="10" t="s">
        <v>65</v>
      </c>
      <c r="B11" s="10" t="s">
        <v>167</v>
      </c>
      <c r="C11" s="10">
        <v>2</v>
      </c>
      <c r="D11" s="11">
        <v>380</v>
      </c>
      <c r="E11" s="11">
        <f t="shared" si="0"/>
        <v>418.00000000000006</v>
      </c>
      <c r="F11" s="13" t="s">
        <v>168</v>
      </c>
    </row>
    <row r="12" spans="1:6" ht="28" x14ac:dyDescent="0.2">
      <c r="A12" s="10" t="s">
        <v>65</v>
      </c>
      <c r="B12" s="10" t="s">
        <v>167</v>
      </c>
      <c r="C12" s="10">
        <v>3</v>
      </c>
      <c r="D12" s="11">
        <v>460</v>
      </c>
      <c r="E12" s="11">
        <f t="shared" si="0"/>
        <v>506.00000000000006</v>
      </c>
      <c r="F12" s="13" t="s">
        <v>168</v>
      </c>
    </row>
    <row r="13" spans="1:6" ht="28" x14ac:dyDescent="0.2">
      <c r="A13" s="10" t="s">
        <v>65</v>
      </c>
      <c r="B13" s="10" t="s">
        <v>167</v>
      </c>
      <c r="C13" s="10">
        <v>4</v>
      </c>
      <c r="D13" s="11">
        <v>540</v>
      </c>
      <c r="E13" s="11">
        <f t="shared" si="0"/>
        <v>594</v>
      </c>
      <c r="F13" s="13" t="s">
        <v>168</v>
      </c>
    </row>
    <row r="14" spans="1:6" x14ac:dyDescent="0.2">
      <c r="A14" s="10" t="s">
        <v>65</v>
      </c>
      <c r="B14" s="10" t="s">
        <v>169</v>
      </c>
      <c r="C14" s="10">
        <v>1</v>
      </c>
      <c r="D14" s="11">
        <v>110</v>
      </c>
      <c r="E14" s="11">
        <f t="shared" si="0"/>
        <v>121.00000000000001</v>
      </c>
      <c r="F14" s="13"/>
    </row>
    <row r="15" spans="1:6" x14ac:dyDescent="0.2">
      <c r="A15" s="10" t="s">
        <v>65</v>
      </c>
      <c r="B15" s="10" t="s">
        <v>169</v>
      </c>
      <c r="C15" s="10">
        <v>2</v>
      </c>
      <c r="D15" s="11">
        <v>200</v>
      </c>
      <c r="E15" s="11">
        <f t="shared" si="0"/>
        <v>220.00000000000003</v>
      </c>
      <c r="F15" s="13"/>
    </row>
    <row r="16" spans="1:6" x14ac:dyDescent="0.2">
      <c r="A16" s="10" t="s">
        <v>65</v>
      </c>
      <c r="B16" s="10" t="s">
        <v>169</v>
      </c>
      <c r="C16" s="10">
        <v>3</v>
      </c>
      <c r="D16" s="11">
        <v>290</v>
      </c>
      <c r="E16" s="11">
        <f t="shared" si="0"/>
        <v>319</v>
      </c>
      <c r="F16" s="13"/>
    </row>
    <row r="17" spans="1:6" x14ac:dyDescent="0.2">
      <c r="A17" s="10" t="s">
        <v>65</v>
      </c>
      <c r="B17" s="10" t="s">
        <v>169</v>
      </c>
      <c r="C17" s="10">
        <v>4</v>
      </c>
      <c r="D17" s="11">
        <v>380</v>
      </c>
      <c r="E17" s="11">
        <f t="shared" si="0"/>
        <v>418.00000000000006</v>
      </c>
      <c r="F17" s="13"/>
    </row>
    <row r="18" spans="1:6" x14ac:dyDescent="0.2">
      <c r="A18" s="10" t="s">
        <v>69</v>
      </c>
      <c r="B18" s="10" t="s">
        <v>170</v>
      </c>
      <c r="C18" s="10">
        <v>2</v>
      </c>
      <c r="D18" s="11">
        <v>440</v>
      </c>
      <c r="E18" s="11">
        <f t="shared" si="0"/>
        <v>484.00000000000006</v>
      </c>
      <c r="F18" s="13"/>
    </row>
    <row r="19" spans="1:6" x14ac:dyDescent="0.2">
      <c r="A19" s="10" t="s">
        <v>69</v>
      </c>
      <c r="B19" s="10" t="s">
        <v>170</v>
      </c>
      <c r="C19" s="10">
        <v>3</v>
      </c>
      <c r="D19" s="11">
        <v>480</v>
      </c>
      <c r="E19" s="11">
        <f t="shared" si="0"/>
        <v>528</v>
      </c>
      <c r="F19" s="13"/>
    </row>
    <row r="20" spans="1:6" x14ac:dyDescent="0.2">
      <c r="A20" s="10" t="s">
        <v>69</v>
      </c>
      <c r="B20" s="10" t="s">
        <v>170</v>
      </c>
      <c r="C20" s="10">
        <v>4</v>
      </c>
      <c r="D20" s="11">
        <v>550</v>
      </c>
      <c r="E20" s="11">
        <f t="shared" si="0"/>
        <v>605</v>
      </c>
      <c r="F20" s="13"/>
    </row>
    <row r="21" spans="1:6" x14ac:dyDescent="0.2">
      <c r="A21" s="10" t="s">
        <v>69</v>
      </c>
      <c r="B21" s="10" t="s">
        <v>171</v>
      </c>
      <c r="C21" s="10">
        <v>1</v>
      </c>
      <c r="D21" s="11">
        <v>460</v>
      </c>
      <c r="E21" s="11">
        <f t="shared" si="0"/>
        <v>506.00000000000006</v>
      </c>
      <c r="F21" s="13" t="s">
        <v>172</v>
      </c>
    </row>
    <row r="22" spans="1:6" x14ac:dyDescent="0.2">
      <c r="A22" s="10" t="s">
        <v>69</v>
      </c>
      <c r="B22" s="10" t="s">
        <v>171</v>
      </c>
      <c r="C22" s="10">
        <v>2</v>
      </c>
      <c r="D22" s="11">
        <v>500</v>
      </c>
      <c r="E22" s="11">
        <f t="shared" si="0"/>
        <v>550</v>
      </c>
      <c r="F22" s="13" t="s">
        <v>172</v>
      </c>
    </row>
    <row r="23" spans="1:6" x14ac:dyDescent="0.2">
      <c r="A23" s="10" t="s">
        <v>69</v>
      </c>
      <c r="B23" s="10" t="s">
        <v>171</v>
      </c>
      <c r="C23" s="10">
        <v>3</v>
      </c>
      <c r="D23" s="11">
        <v>570</v>
      </c>
      <c r="E23" s="11">
        <f t="shared" si="0"/>
        <v>627</v>
      </c>
      <c r="F23" s="13" t="s">
        <v>172</v>
      </c>
    </row>
    <row r="24" spans="1:6" x14ac:dyDescent="0.2">
      <c r="A24" s="10" t="s">
        <v>69</v>
      </c>
      <c r="B24" s="10" t="s">
        <v>171</v>
      </c>
      <c r="C24" s="10">
        <v>4</v>
      </c>
      <c r="D24" s="11">
        <v>680</v>
      </c>
      <c r="E24" s="11">
        <f t="shared" si="0"/>
        <v>748.00000000000011</v>
      </c>
      <c r="F24" s="13" t="s">
        <v>172</v>
      </c>
    </row>
    <row r="25" spans="1:6" x14ac:dyDescent="0.2">
      <c r="A25" s="10" t="s">
        <v>72</v>
      </c>
      <c r="B25" s="10" t="s">
        <v>173</v>
      </c>
      <c r="C25" s="10">
        <v>2</v>
      </c>
      <c r="D25" s="11">
        <v>540</v>
      </c>
      <c r="E25" s="11">
        <f t="shared" si="0"/>
        <v>594</v>
      </c>
      <c r="F25" s="13"/>
    </row>
    <row r="26" spans="1:6" x14ac:dyDescent="0.2">
      <c r="A26" s="10" t="s">
        <v>72</v>
      </c>
      <c r="B26" s="10" t="s">
        <v>173</v>
      </c>
      <c r="C26" s="10">
        <v>3</v>
      </c>
      <c r="D26" s="11">
        <v>600</v>
      </c>
      <c r="E26" s="11">
        <f t="shared" si="0"/>
        <v>660</v>
      </c>
      <c r="F26" s="13"/>
    </row>
    <row r="27" spans="1:6" x14ac:dyDescent="0.2">
      <c r="A27" s="10" t="s">
        <v>72</v>
      </c>
      <c r="B27" s="10" t="s">
        <v>173</v>
      </c>
      <c r="C27" s="10">
        <v>4</v>
      </c>
      <c r="D27" s="11">
        <v>640</v>
      </c>
      <c r="E27" s="11">
        <f t="shared" si="0"/>
        <v>704</v>
      </c>
      <c r="F27" s="13"/>
    </row>
    <row r="28" spans="1:6" x14ac:dyDescent="0.2">
      <c r="A28" s="10" t="s">
        <v>74</v>
      </c>
      <c r="B28" s="10" t="s">
        <v>174</v>
      </c>
      <c r="C28" s="10">
        <v>2</v>
      </c>
      <c r="D28" s="11">
        <v>460</v>
      </c>
      <c r="E28" s="11">
        <f t="shared" si="0"/>
        <v>506.00000000000006</v>
      </c>
      <c r="F28" s="13"/>
    </row>
    <row r="29" spans="1:6" x14ac:dyDescent="0.2">
      <c r="A29" s="10" t="s">
        <v>74</v>
      </c>
      <c r="B29" s="10" t="s">
        <v>174</v>
      </c>
      <c r="C29" s="10">
        <v>3</v>
      </c>
      <c r="D29" s="11">
        <v>540</v>
      </c>
      <c r="E29" s="11">
        <f t="shared" si="0"/>
        <v>594</v>
      </c>
      <c r="F29" s="13"/>
    </row>
    <row r="30" spans="1:6" x14ac:dyDescent="0.2">
      <c r="A30" s="10" t="s">
        <v>74</v>
      </c>
      <c r="B30" s="10" t="s">
        <v>174</v>
      </c>
      <c r="C30" s="10">
        <v>4</v>
      </c>
      <c r="D30" s="11">
        <v>600</v>
      </c>
      <c r="E30" s="11">
        <f t="shared" si="0"/>
        <v>660</v>
      </c>
      <c r="F30" s="13"/>
    </row>
    <row r="31" spans="1:6" x14ac:dyDescent="0.2">
      <c r="A31" s="10" t="s">
        <v>175</v>
      </c>
      <c r="B31" s="10" t="s">
        <v>176</v>
      </c>
      <c r="C31" s="10">
        <v>2</v>
      </c>
      <c r="D31" s="11">
        <v>460</v>
      </c>
      <c r="E31" s="11">
        <f t="shared" si="0"/>
        <v>506.00000000000006</v>
      </c>
      <c r="F31" s="13"/>
    </row>
    <row r="32" spans="1:6" x14ac:dyDescent="0.2">
      <c r="A32" s="10" t="s">
        <v>175</v>
      </c>
      <c r="B32" s="10" t="s">
        <v>176</v>
      </c>
      <c r="C32" s="10">
        <v>3</v>
      </c>
      <c r="D32" s="11">
        <v>540</v>
      </c>
      <c r="E32" s="11">
        <f t="shared" si="0"/>
        <v>594</v>
      </c>
      <c r="F32" s="13"/>
    </row>
    <row r="33" spans="1:6" x14ac:dyDescent="0.2">
      <c r="A33" s="10" t="s">
        <v>175</v>
      </c>
      <c r="B33" s="10" t="s">
        <v>176</v>
      </c>
      <c r="C33" s="10">
        <v>4</v>
      </c>
      <c r="D33" s="11">
        <v>600</v>
      </c>
      <c r="E33" s="11">
        <f t="shared" si="0"/>
        <v>660</v>
      </c>
      <c r="F33" s="13"/>
    </row>
    <row r="34" spans="1:6" x14ac:dyDescent="0.2">
      <c r="A34" s="10" t="s">
        <v>84</v>
      </c>
      <c r="B34" s="10" t="s">
        <v>177</v>
      </c>
      <c r="C34" s="10">
        <v>2</v>
      </c>
      <c r="D34" s="11">
        <v>320</v>
      </c>
      <c r="E34" s="11">
        <f t="shared" si="0"/>
        <v>352</v>
      </c>
      <c r="F34" s="13" t="s">
        <v>178</v>
      </c>
    </row>
    <row r="35" spans="1:6" x14ac:dyDescent="0.2">
      <c r="A35" s="10" t="s">
        <v>84</v>
      </c>
      <c r="B35" s="10" t="s">
        <v>177</v>
      </c>
      <c r="C35" s="10">
        <v>3</v>
      </c>
      <c r="D35" s="11">
        <v>370</v>
      </c>
      <c r="E35" s="11">
        <f t="shared" si="0"/>
        <v>407.00000000000006</v>
      </c>
      <c r="F35" s="13" t="s">
        <v>178</v>
      </c>
    </row>
    <row r="36" spans="1:6" x14ac:dyDescent="0.2">
      <c r="A36" s="10" t="s">
        <v>84</v>
      </c>
      <c r="B36" s="10" t="s">
        <v>177</v>
      </c>
      <c r="C36" s="10">
        <v>4</v>
      </c>
      <c r="D36" s="11">
        <v>420</v>
      </c>
      <c r="E36" s="11">
        <f t="shared" si="0"/>
        <v>462.00000000000006</v>
      </c>
      <c r="F36" s="13" t="s">
        <v>178</v>
      </c>
    </row>
    <row r="37" spans="1:6" x14ac:dyDescent="0.2">
      <c r="A37" s="10" t="s">
        <v>179</v>
      </c>
      <c r="B37" s="10" t="s">
        <v>180</v>
      </c>
      <c r="C37" s="10">
        <v>2</v>
      </c>
      <c r="D37" s="11">
        <v>360</v>
      </c>
      <c r="E37" s="11">
        <f t="shared" ref="E37:E68" si="1">D37*1.1</f>
        <v>396.00000000000006</v>
      </c>
      <c r="F37" s="13" t="s">
        <v>178</v>
      </c>
    </row>
    <row r="38" spans="1:6" x14ac:dyDescent="0.2">
      <c r="A38" s="10" t="s">
        <v>179</v>
      </c>
      <c r="B38" s="10" t="s">
        <v>180</v>
      </c>
      <c r="C38" s="10">
        <v>3</v>
      </c>
      <c r="D38" s="11">
        <v>400</v>
      </c>
      <c r="E38" s="11">
        <f t="shared" si="1"/>
        <v>440.00000000000006</v>
      </c>
      <c r="F38" s="13" t="s">
        <v>178</v>
      </c>
    </row>
    <row r="39" spans="1:6" x14ac:dyDescent="0.2">
      <c r="A39" s="10" t="s">
        <v>179</v>
      </c>
      <c r="B39" s="10" t="s">
        <v>180</v>
      </c>
      <c r="C39" s="10">
        <v>4</v>
      </c>
      <c r="D39" s="11">
        <v>440</v>
      </c>
      <c r="E39" s="11">
        <f t="shared" si="1"/>
        <v>484.00000000000006</v>
      </c>
      <c r="F39" s="13" t="s">
        <v>178</v>
      </c>
    </row>
    <row r="40" spans="1:6" x14ac:dyDescent="0.2">
      <c r="A40" s="10" t="s">
        <v>86</v>
      </c>
      <c r="B40" s="10" t="s">
        <v>181</v>
      </c>
      <c r="C40" s="10">
        <v>2</v>
      </c>
      <c r="D40" s="11">
        <v>440</v>
      </c>
      <c r="E40" s="11">
        <f t="shared" si="1"/>
        <v>484.00000000000006</v>
      </c>
      <c r="F40" s="13" t="s">
        <v>178</v>
      </c>
    </row>
    <row r="41" spans="1:6" x14ac:dyDescent="0.2">
      <c r="A41" s="10" t="s">
        <v>86</v>
      </c>
      <c r="B41" s="10" t="s">
        <v>181</v>
      </c>
      <c r="C41" s="10">
        <v>3</v>
      </c>
      <c r="D41" s="11">
        <v>490</v>
      </c>
      <c r="E41" s="11">
        <f t="shared" si="1"/>
        <v>539</v>
      </c>
      <c r="F41" s="13" t="s">
        <v>178</v>
      </c>
    </row>
    <row r="42" spans="1:6" x14ac:dyDescent="0.2">
      <c r="A42" s="10" t="s">
        <v>86</v>
      </c>
      <c r="B42" s="10" t="s">
        <v>181</v>
      </c>
      <c r="C42" s="10">
        <v>4</v>
      </c>
      <c r="D42" s="11">
        <v>540</v>
      </c>
      <c r="E42" s="11">
        <f t="shared" si="1"/>
        <v>594</v>
      </c>
      <c r="F42" s="13" t="s">
        <v>178</v>
      </c>
    </row>
    <row r="43" spans="1:6" x14ac:dyDescent="0.2">
      <c r="A43" s="10" t="s">
        <v>182</v>
      </c>
      <c r="B43" s="10" t="s">
        <v>183</v>
      </c>
      <c r="C43" s="10">
        <v>2</v>
      </c>
      <c r="D43" s="11">
        <v>320</v>
      </c>
      <c r="E43" s="11">
        <f t="shared" si="1"/>
        <v>352</v>
      </c>
      <c r="F43" s="13"/>
    </row>
    <row r="44" spans="1:6" x14ac:dyDescent="0.2">
      <c r="A44" s="10" t="s">
        <v>182</v>
      </c>
      <c r="B44" s="10" t="s">
        <v>183</v>
      </c>
      <c r="C44" s="10">
        <v>3</v>
      </c>
      <c r="D44" s="11">
        <v>350</v>
      </c>
      <c r="E44" s="11">
        <f t="shared" si="1"/>
        <v>385.00000000000006</v>
      </c>
      <c r="F44" s="13"/>
    </row>
    <row r="45" spans="1:6" x14ac:dyDescent="0.2">
      <c r="A45" s="10" t="s">
        <v>182</v>
      </c>
      <c r="B45" s="10" t="s">
        <v>183</v>
      </c>
      <c r="C45" s="10">
        <v>4</v>
      </c>
      <c r="D45" s="11">
        <v>380</v>
      </c>
      <c r="E45" s="11">
        <f t="shared" si="1"/>
        <v>418.00000000000006</v>
      </c>
      <c r="F45" s="13"/>
    </row>
    <row r="46" spans="1:6" x14ac:dyDescent="0.2">
      <c r="A46" s="10" t="s">
        <v>182</v>
      </c>
      <c r="B46" s="10" t="s">
        <v>184</v>
      </c>
      <c r="C46" s="10">
        <v>2</v>
      </c>
      <c r="D46" s="11">
        <v>400</v>
      </c>
      <c r="E46" s="11">
        <f t="shared" si="1"/>
        <v>440.00000000000006</v>
      </c>
      <c r="F46" s="13"/>
    </row>
    <row r="47" spans="1:6" x14ac:dyDescent="0.2">
      <c r="A47" s="10" t="s">
        <v>182</v>
      </c>
      <c r="B47" s="10" t="s">
        <v>184</v>
      </c>
      <c r="C47" s="10">
        <v>3</v>
      </c>
      <c r="D47" s="11">
        <v>430</v>
      </c>
      <c r="E47" s="11">
        <f t="shared" si="1"/>
        <v>473.00000000000006</v>
      </c>
      <c r="F47" s="13"/>
    </row>
    <row r="48" spans="1:6" x14ac:dyDescent="0.2">
      <c r="A48" s="10" t="s">
        <v>182</v>
      </c>
      <c r="B48" s="10" t="s">
        <v>184</v>
      </c>
      <c r="C48" s="10">
        <v>4</v>
      </c>
      <c r="D48" s="11">
        <v>490</v>
      </c>
      <c r="E48" s="11">
        <f t="shared" si="1"/>
        <v>539</v>
      </c>
      <c r="F48" s="13"/>
    </row>
    <row r="49" spans="1:6" x14ac:dyDescent="0.2">
      <c r="A49" s="10" t="s">
        <v>79</v>
      </c>
      <c r="B49" s="10" t="s">
        <v>185</v>
      </c>
      <c r="C49" s="10">
        <v>1</v>
      </c>
      <c r="D49" s="11">
        <v>490</v>
      </c>
      <c r="E49" s="11">
        <f t="shared" si="1"/>
        <v>539</v>
      </c>
      <c r="F49" s="13" t="s">
        <v>186</v>
      </c>
    </row>
    <row r="50" spans="1:6" x14ac:dyDescent="0.2">
      <c r="A50" s="10" t="s">
        <v>79</v>
      </c>
      <c r="B50" s="10" t="s">
        <v>185</v>
      </c>
      <c r="C50" s="10">
        <v>2</v>
      </c>
      <c r="D50" s="11">
        <v>540</v>
      </c>
      <c r="E50" s="11">
        <f t="shared" si="1"/>
        <v>594</v>
      </c>
      <c r="F50" s="13" t="s">
        <v>186</v>
      </c>
    </row>
    <row r="51" spans="1:6" x14ac:dyDescent="0.2">
      <c r="A51" s="10" t="s">
        <v>79</v>
      </c>
      <c r="B51" s="10" t="s">
        <v>185</v>
      </c>
      <c r="C51" s="10">
        <v>3</v>
      </c>
      <c r="D51" s="11">
        <v>610</v>
      </c>
      <c r="E51" s="11">
        <f t="shared" si="1"/>
        <v>671</v>
      </c>
      <c r="F51" s="13" t="s">
        <v>186</v>
      </c>
    </row>
    <row r="52" spans="1:6" x14ac:dyDescent="0.2">
      <c r="A52" s="10" t="s">
        <v>79</v>
      </c>
      <c r="B52" s="10" t="s">
        <v>185</v>
      </c>
      <c r="C52" s="10">
        <v>4</v>
      </c>
      <c r="D52" s="11">
        <v>650</v>
      </c>
      <c r="E52" s="11">
        <f t="shared" si="1"/>
        <v>715.00000000000011</v>
      </c>
      <c r="F52" s="13" t="s">
        <v>186</v>
      </c>
    </row>
    <row r="53" spans="1:6" x14ac:dyDescent="0.2">
      <c r="A53" s="10" t="s">
        <v>79</v>
      </c>
      <c r="B53" s="10" t="s">
        <v>185</v>
      </c>
      <c r="C53" s="10">
        <v>5</v>
      </c>
      <c r="D53" s="11">
        <v>720</v>
      </c>
      <c r="E53" s="11">
        <f t="shared" si="1"/>
        <v>792.00000000000011</v>
      </c>
      <c r="F53" s="13" t="s">
        <v>186</v>
      </c>
    </row>
    <row r="54" spans="1:6" x14ac:dyDescent="0.2">
      <c r="A54" s="10" t="s">
        <v>79</v>
      </c>
      <c r="B54" s="10" t="s">
        <v>185</v>
      </c>
      <c r="C54" s="10">
        <v>6</v>
      </c>
      <c r="D54" s="11">
        <v>780</v>
      </c>
      <c r="E54" s="11">
        <f t="shared" si="1"/>
        <v>858.00000000000011</v>
      </c>
      <c r="F54" s="13" t="s">
        <v>186</v>
      </c>
    </row>
    <row r="55" spans="1:6" x14ac:dyDescent="0.2">
      <c r="A55" s="10" t="s">
        <v>81</v>
      </c>
      <c r="B55" s="10" t="s">
        <v>187</v>
      </c>
      <c r="C55" s="10">
        <v>2</v>
      </c>
      <c r="D55" s="11">
        <v>380</v>
      </c>
      <c r="E55" s="11">
        <f t="shared" si="1"/>
        <v>418.00000000000006</v>
      </c>
      <c r="F55" s="13"/>
    </row>
    <row r="56" spans="1:6" x14ac:dyDescent="0.2">
      <c r="A56" s="10" t="s">
        <v>81</v>
      </c>
      <c r="B56" s="10" t="s">
        <v>187</v>
      </c>
      <c r="C56" s="10">
        <v>3</v>
      </c>
      <c r="D56" s="11">
        <v>460</v>
      </c>
      <c r="E56" s="11">
        <f t="shared" si="1"/>
        <v>506.00000000000006</v>
      </c>
      <c r="F56" s="13"/>
    </row>
    <row r="57" spans="1:6" x14ac:dyDescent="0.2">
      <c r="A57" s="10" t="s">
        <v>81</v>
      </c>
      <c r="B57" s="10" t="s">
        <v>187</v>
      </c>
      <c r="C57" s="10">
        <v>4</v>
      </c>
      <c r="D57" s="11">
        <v>540</v>
      </c>
      <c r="E57" s="11">
        <f t="shared" si="1"/>
        <v>594</v>
      </c>
      <c r="F57" s="13"/>
    </row>
    <row r="58" spans="1:6" x14ac:dyDescent="0.2">
      <c r="A58" s="10" t="s">
        <v>81</v>
      </c>
      <c r="B58" s="10" t="s">
        <v>187</v>
      </c>
      <c r="C58" s="10">
        <v>5</v>
      </c>
      <c r="D58" s="11">
        <v>620</v>
      </c>
      <c r="E58" s="11">
        <f t="shared" si="1"/>
        <v>682</v>
      </c>
      <c r="F58" s="13"/>
    </row>
    <row r="59" spans="1:6" x14ac:dyDescent="0.2">
      <c r="A59" s="10" t="s">
        <v>81</v>
      </c>
      <c r="B59" s="10" t="s">
        <v>187</v>
      </c>
      <c r="C59" s="10">
        <v>6</v>
      </c>
      <c r="D59" s="11">
        <v>700</v>
      </c>
      <c r="E59" s="11">
        <f t="shared" si="1"/>
        <v>770.00000000000011</v>
      </c>
      <c r="F59" s="13"/>
    </row>
    <row r="60" spans="1:6" x14ac:dyDescent="0.2">
      <c r="A60" s="10" t="s">
        <v>188</v>
      </c>
      <c r="B60" s="10" t="s">
        <v>189</v>
      </c>
      <c r="C60" s="10">
        <v>2</v>
      </c>
      <c r="D60" s="11">
        <v>320</v>
      </c>
      <c r="E60" s="11">
        <f t="shared" si="1"/>
        <v>352</v>
      </c>
      <c r="F60" s="13" t="s">
        <v>178</v>
      </c>
    </row>
    <row r="61" spans="1:6" x14ac:dyDescent="0.2">
      <c r="A61" s="10" t="s">
        <v>188</v>
      </c>
      <c r="B61" s="10" t="s">
        <v>189</v>
      </c>
      <c r="C61" s="10">
        <v>3</v>
      </c>
      <c r="D61" s="11">
        <v>370</v>
      </c>
      <c r="E61" s="11">
        <f t="shared" si="1"/>
        <v>407.00000000000006</v>
      </c>
      <c r="F61" s="13" t="s">
        <v>178</v>
      </c>
    </row>
    <row r="62" spans="1:6" x14ac:dyDescent="0.2">
      <c r="A62" s="10" t="s">
        <v>188</v>
      </c>
      <c r="B62" s="10" t="s">
        <v>189</v>
      </c>
      <c r="C62" s="10">
        <v>4</v>
      </c>
      <c r="D62" s="11">
        <v>410</v>
      </c>
      <c r="E62" s="11">
        <f t="shared" si="1"/>
        <v>451.00000000000006</v>
      </c>
      <c r="F62" s="13" t="s">
        <v>178</v>
      </c>
    </row>
    <row r="63" spans="1:6" x14ac:dyDescent="0.2">
      <c r="A63" s="10" t="s">
        <v>188</v>
      </c>
      <c r="B63" s="10" t="s">
        <v>190</v>
      </c>
      <c r="C63" s="10">
        <v>2</v>
      </c>
      <c r="D63" s="11">
        <v>410</v>
      </c>
      <c r="E63" s="11">
        <f t="shared" si="1"/>
        <v>451.00000000000006</v>
      </c>
      <c r="F63" s="13" t="s">
        <v>178</v>
      </c>
    </row>
    <row r="64" spans="1:6" x14ac:dyDescent="0.2">
      <c r="A64" s="10" t="s">
        <v>188</v>
      </c>
      <c r="B64" s="10" t="s">
        <v>190</v>
      </c>
      <c r="C64" s="10">
        <v>3</v>
      </c>
      <c r="D64" s="11">
        <v>450</v>
      </c>
      <c r="E64" s="11">
        <f t="shared" si="1"/>
        <v>495.00000000000006</v>
      </c>
      <c r="F64" s="13" t="s">
        <v>178</v>
      </c>
    </row>
    <row r="65" spans="1:6" x14ac:dyDescent="0.2">
      <c r="A65" s="10" t="s">
        <v>188</v>
      </c>
      <c r="B65" s="10" t="s">
        <v>190</v>
      </c>
      <c r="C65" s="10">
        <v>4</v>
      </c>
      <c r="D65" s="11">
        <v>480</v>
      </c>
      <c r="E65" s="11">
        <f t="shared" si="1"/>
        <v>528</v>
      </c>
      <c r="F65" s="13" t="s">
        <v>178</v>
      </c>
    </row>
    <row r="66" spans="1:6" x14ac:dyDescent="0.2">
      <c r="A66" s="10" t="s">
        <v>188</v>
      </c>
      <c r="B66" s="10" t="s">
        <v>191</v>
      </c>
      <c r="C66" s="10">
        <v>2</v>
      </c>
      <c r="D66" s="11">
        <v>510</v>
      </c>
      <c r="E66" s="11">
        <f t="shared" si="1"/>
        <v>561</v>
      </c>
      <c r="F66" s="13" t="s">
        <v>178</v>
      </c>
    </row>
    <row r="67" spans="1:6" x14ac:dyDescent="0.2">
      <c r="A67" s="10" t="s">
        <v>188</v>
      </c>
      <c r="B67" s="10" t="s">
        <v>191</v>
      </c>
      <c r="C67" s="10">
        <v>3</v>
      </c>
      <c r="D67" s="11">
        <v>550</v>
      </c>
      <c r="E67" s="11">
        <f t="shared" si="1"/>
        <v>605</v>
      </c>
      <c r="F67" s="13" t="s">
        <v>178</v>
      </c>
    </row>
    <row r="68" spans="1:6" x14ac:dyDescent="0.2">
      <c r="A68" s="10" t="s">
        <v>188</v>
      </c>
      <c r="B68" s="10" t="s">
        <v>191</v>
      </c>
      <c r="C68" s="10">
        <v>4</v>
      </c>
      <c r="D68" s="11">
        <v>590</v>
      </c>
      <c r="E68" s="11">
        <f t="shared" si="1"/>
        <v>649</v>
      </c>
      <c r="F68" s="13" t="s">
        <v>178</v>
      </c>
    </row>
    <row r="69" spans="1:6" x14ac:dyDescent="0.2">
      <c r="A69" s="10" t="s">
        <v>93</v>
      </c>
      <c r="B69" s="10" t="s">
        <v>192</v>
      </c>
      <c r="C69" s="10">
        <v>2</v>
      </c>
      <c r="D69" s="11">
        <v>420</v>
      </c>
      <c r="E69" s="11">
        <f t="shared" ref="E69:E100" si="2">D69*1.1</f>
        <v>462.00000000000006</v>
      </c>
      <c r="F69" s="13" t="s">
        <v>178</v>
      </c>
    </row>
    <row r="70" spans="1:6" x14ac:dyDescent="0.2">
      <c r="A70" s="10" t="s">
        <v>93</v>
      </c>
      <c r="B70" s="10" t="s">
        <v>192</v>
      </c>
      <c r="C70" s="10">
        <v>3</v>
      </c>
      <c r="D70" s="11">
        <v>450</v>
      </c>
      <c r="E70" s="11">
        <f t="shared" si="2"/>
        <v>495.00000000000006</v>
      </c>
      <c r="F70" s="13" t="s">
        <v>178</v>
      </c>
    </row>
    <row r="71" spans="1:6" x14ac:dyDescent="0.2">
      <c r="A71" s="10" t="s">
        <v>93</v>
      </c>
      <c r="B71" s="10" t="s">
        <v>192</v>
      </c>
      <c r="C71" s="10">
        <v>4</v>
      </c>
      <c r="D71" s="11">
        <v>480</v>
      </c>
      <c r="E71" s="11">
        <f t="shared" si="2"/>
        <v>528</v>
      </c>
      <c r="F71" s="13" t="s">
        <v>178</v>
      </c>
    </row>
    <row r="72" spans="1:6" x14ac:dyDescent="0.2">
      <c r="A72" s="10" t="s">
        <v>93</v>
      </c>
      <c r="B72" s="10" t="s">
        <v>193</v>
      </c>
      <c r="C72" s="10">
        <v>2</v>
      </c>
      <c r="D72" s="11">
        <v>440</v>
      </c>
      <c r="E72" s="11">
        <f t="shared" si="2"/>
        <v>484.00000000000006</v>
      </c>
      <c r="F72" s="13" t="s">
        <v>178</v>
      </c>
    </row>
    <row r="73" spans="1:6" x14ac:dyDescent="0.2">
      <c r="A73" s="10" t="s">
        <v>93</v>
      </c>
      <c r="B73" s="10" t="s">
        <v>193</v>
      </c>
      <c r="C73" s="10">
        <v>3</v>
      </c>
      <c r="D73" s="11">
        <v>470</v>
      </c>
      <c r="E73" s="11">
        <f t="shared" si="2"/>
        <v>517</v>
      </c>
      <c r="F73" s="13" t="s">
        <v>178</v>
      </c>
    </row>
    <row r="74" spans="1:6" x14ac:dyDescent="0.2">
      <c r="A74" s="10" t="s">
        <v>93</v>
      </c>
      <c r="B74" s="10" t="s">
        <v>193</v>
      </c>
      <c r="C74" s="10">
        <v>4</v>
      </c>
      <c r="D74" s="11">
        <v>500</v>
      </c>
      <c r="E74" s="11">
        <f t="shared" si="2"/>
        <v>550</v>
      </c>
      <c r="F74" s="13" t="s">
        <v>178</v>
      </c>
    </row>
    <row r="75" spans="1:6" x14ac:dyDescent="0.2">
      <c r="A75" s="10" t="s">
        <v>91</v>
      </c>
      <c r="B75" s="10" t="s">
        <v>194</v>
      </c>
      <c r="C75" s="10">
        <v>2</v>
      </c>
      <c r="D75" s="11">
        <v>390</v>
      </c>
      <c r="E75" s="11">
        <f t="shared" si="2"/>
        <v>429.00000000000006</v>
      </c>
      <c r="F75" s="13" t="s">
        <v>178</v>
      </c>
    </row>
    <row r="76" spans="1:6" x14ac:dyDescent="0.2">
      <c r="A76" s="10" t="s">
        <v>91</v>
      </c>
      <c r="B76" s="10" t="s">
        <v>194</v>
      </c>
      <c r="C76" s="10">
        <v>3</v>
      </c>
      <c r="D76" s="11">
        <v>420</v>
      </c>
      <c r="E76" s="11">
        <f t="shared" si="2"/>
        <v>462.00000000000006</v>
      </c>
      <c r="F76" s="13" t="s">
        <v>178</v>
      </c>
    </row>
    <row r="77" spans="1:6" x14ac:dyDescent="0.2">
      <c r="A77" s="10" t="s">
        <v>91</v>
      </c>
      <c r="B77" s="10" t="s">
        <v>194</v>
      </c>
      <c r="C77" s="10">
        <v>4</v>
      </c>
      <c r="D77" s="11">
        <v>450</v>
      </c>
      <c r="E77" s="11">
        <f t="shared" si="2"/>
        <v>495.00000000000006</v>
      </c>
      <c r="F77" s="13" t="s">
        <v>178</v>
      </c>
    </row>
    <row r="78" spans="1:6" x14ac:dyDescent="0.2">
      <c r="A78" s="10" t="s">
        <v>91</v>
      </c>
      <c r="B78" s="10" t="s">
        <v>195</v>
      </c>
      <c r="C78" s="10">
        <v>2</v>
      </c>
      <c r="D78" s="11">
        <v>420</v>
      </c>
      <c r="E78" s="11">
        <f t="shared" si="2"/>
        <v>462.00000000000006</v>
      </c>
      <c r="F78" s="13" t="s">
        <v>178</v>
      </c>
    </row>
    <row r="79" spans="1:6" x14ac:dyDescent="0.2">
      <c r="A79" s="10" t="s">
        <v>91</v>
      </c>
      <c r="B79" s="10" t="s">
        <v>195</v>
      </c>
      <c r="C79" s="10">
        <v>3</v>
      </c>
      <c r="D79" s="11">
        <v>450</v>
      </c>
      <c r="E79" s="11">
        <f t="shared" si="2"/>
        <v>495.00000000000006</v>
      </c>
      <c r="F79" s="13" t="s">
        <v>178</v>
      </c>
    </row>
    <row r="80" spans="1:6" x14ac:dyDescent="0.2">
      <c r="A80" s="10" t="s">
        <v>91</v>
      </c>
      <c r="B80" s="10" t="s">
        <v>195</v>
      </c>
      <c r="C80" s="10">
        <v>4</v>
      </c>
      <c r="D80" s="11">
        <v>480</v>
      </c>
      <c r="E80" s="11">
        <f t="shared" si="2"/>
        <v>528</v>
      </c>
      <c r="F80" s="13" t="s">
        <v>178</v>
      </c>
    </row>
    <row r="82" spans="1:6" x14ac:dyDescent="0.2">
      <c r="A82" s="2" t="s">
        <v>196</v>
      </c>
      <c r="B82" s="2"/>
      <c r="C82" s="2"/>
      <c r="D82" s="2"/>
      <c r="E82" s="2"/>
      <c r="F82" s="2"/>
    </row>
    <row r="83" spans="1:6" ht="15" customHeight="1" x14ac:dyDescent="0.2">
      <c r="A83" s="3" t="s">
        <v>197</v>
      </c>
      <c r="B83" s="3"/>
      <c r="C83" s="3"/>
      <c r="D83" s="3"/>
      <c r="E83" s="3"/>
      <c r="F83" s="3"/>
    </row>
    <row r="84" spans="1:6" ht="15" customHeight="1" x14ac:dyDescent="0.2">
      <c r="A84" s="3" t="s">
        <v>198</v>
      </c>
      <c r="B84" s="3"/>
      <c r="C84" s="3"/>
      <c r="D84" s="3"/>
      <c r="E84" s="3"/>
      <c r="F84" s="3"/>
    </row>
    <row r="85" spans="1:6" ht="15" customHeight="1" x14ac:dyDescent="0.2">
      <c r="A85" s="3" t="s">
        <v>199</v>
      </c>
      <c r="B85" s="3"/>
      <c r="C85" s="3"/>
      <c r="D85" s="3"/>
      <c r="E85" s="3"/>
      <c r="F85" s="3"/>
    </row>
    <row r="86" spans="1:6" ht="22.25" customHeight="1" x14ac:dyDescent="0.2">
      <c r="A86" s="3" t="s">
        <v>200</v>
      </c>
      <c r="B86" s="3"/>
      <c r="C86" s="3"/>
      <c r="D86" s="3"/>
      <c r="E86" s="3"/>
      <c r="F86" s="3"/>
    </row>
    <row r="87" spans="1:6" ht="15" customHeight="1" x14ac:dyDescent="0.2">
      <c r="A87" s="3" t="s">
        <v>201</v>
      </c>
      <c r="B87" s="3"/>
      <c r="C87" s="3"/>
      <c r="D87" s="3"/>
      <c r="E87" s="3"/>
      <c r="F87" s="3"/>
    </row>
    <row r="88" spans="1:6" ht="15" customHeight="1" x14ac:dyDescent="0.2">
      <c r="A88" s="3" t="s">
        <v>202</v>
      </c>
      <c r="B88" s="3"/>
      <c r="C88" s="3"/>
      <c r="D88" s="3"/>
      <c r="E88" s="3"/>
      <c r="F88" s="3"/>
    </row>
  </sheetData>
  <mergeCells count="9">
    <mergeCell ref="A85:F85"/>
    <mergeCell ref="A86:F86"/>
    <mergeCell ref="A87:F87"/>
    <mergeCell ref="A88:F88"/>
    <mergeCell ref="A1:F1"/>
    <mergeCell ref="A2:F2"/>
    <mergeCell ref="A82:F82"/>
    <mergeCell ref="A83:F83"/>
    <mergeCell ref="A84:F8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32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38" customWidth="1"/>
    <col min="2" max="3" width="20" customWidth="1"/>
    <col min="4" max="4" width="16" customWidth="1"/>
    <col min="5" max="5" width="55" customWidth="1"/>
  </cols>
  <sheetData>
    <row r="1" spans="1:5" ht="20" x14ac:dyDescent="0.2">
      <c r="A1" s="4" t="s">
        <v>203</v>
      </c>
      <c r="B1" s="4"/>
      <c r="C1" s="4"/>
      <c r="D1" s="4"/>
      <c r="E1" s="4"/>
    </row>
    <row r="2" spans="1:5" x14ac:dyDescent="0.2">
      <c r="A2" s="5" t="s">
        <v>204</v>
      </c>
      <c r="B2" s="5"/>
      <c r="C2" s="5"/>
      <c r="D2" s="5"/>
      <c r="E2" s="5"/>
    </row>
    <row r="4" spans="1:5" ht="30" x14ac:dyDescent="0.2">
      <c r="A4" s="9" t="s">
        <v>205</v>
      </c>
      <c r="B4" s="9" t="s">
        <v>62</v>
      </c>
      <c r="C4" s="9" t="s">
        <v>206</v>
      </c>
      <c r="D4" s="9" t="s">
        <v>207</v>
      </c>
      <c r="E4" s="9" t="s">
        <v>208</v>
      </c>
    </row>
    <row r="5" spans="1:5" x14ac:dyDescent="0.2">
      <c r="A5" s="10" t="s">
        <v>209</v>
      </c>
      <c r="B5" s="10" t="s">
        <v>65</v>
      </c>
      <c r="C5" s="10" t="s">
        <v>210</v>
      </c>
      <c r="D5" s="10" t="s">
        <v>67</v>
      </c>
      <c r="E5" s="10" t="s">
        <v>211</v>
      </c>
    </row>
    <row r="6" spans="1:5" x14ac:dyDescent="0.2">
      <c r="A6" s="10" t="s">
        <v>212</v>
      </c>
      <c r="B6" s="10" t="s">
        <v>65</v>
      </c>
      <c r="C6" s="10" t="s">
        <v>213</v>
      </c>
      <c r="D6" s="10" t="s">
        <v>67</v>
      </c>
      <c r="E6" s="10" t="s">
        <v>214</v>
      </c>
    </row>
    <row r="7" spans="1:5" x14ac:dyDescent="0.2">
      <c r="A7" s="10" t="s">
        <v>215</v>
      </c>
      <c r="B7" s="10" t="s">
        <v>65</v>
      </c>
      <c r="C7" s="10" t="s">
        <v>216</v>
      </c>
      <c r="D7" s="10" t="s">
        <v>67</v>
      </c>
      <c r="E7" s="10" t="s">
        <v>217</v>
      </c>
    </row>
    <row r="8" spans="1:5" x14ac:dyDescent="0.2">
      <c r="A8" s="10" t="s">
        <v>218</v>
      </c>
      <c r="B8" s="10" t="s">
        <v>65</v>
      </c>
      <c r="C8" s="10" t="s">
        <v>213</v>
      </c>
      <c r="D8" s="10" t="s">
        <v>67</v>
      </c>
      <c r="E8" s="10" t="s">
        <v>219</v>
      </c>
    </row>
    <row r="9" spans="1:5" x14ac:dyDescent="0.2">
      <c r="A9" s="10" t="s">
        <v>220</v>
      </c>
      <c r="B9" s="10" t="s">
        <v>65</v>
      </c>
      <c r="C9" s="10" t="s">
        <v>213</v>
      </c>
      <c r="D9" s="10" t="s">
        <v>67</v>
      </c>
      <c r="E9" s="10" t="s">
        <v>221</v>
      </c>
    </row>
    <row r="10" spans="1:5" x14ac:dyDescent="0.2">
      <c r="A10" s="10" t="s">
        <v>222</v>
      </c>
      <c r="B10" s="10" t="s">
        <v>65</v>
      </c>
      <c r="C10" s="10" t="s">
        <v>223</v>
      </c>
      <c r="D10" s="10" t="s">
        <v>67</v>
      </c>
      <c r="E10" s="10" t="s">
        <v>224</v>
      </c>
    </row>
    <row r="11" spans="1:5" x14ac:dyDescent="0.2">
      <c r="A11" s="10" t="s">
        <v>225</v>
      </c>
      <c r="B11" s="10" t="s">
        <v>226</v>
      </c>
      <c r="C11" s="10" t="s">
        <v>213</v>
      </c>
      <c r="D11" s="10" t="s">
        <v>67</v>
      </c>
      <c r="E11" s="10" t="s">
        <v>227</v>
      </c>
    </row>
    <row r="12" spans="1:5" x14ac:dyDescent="0.2">
      <c r="A12" s="10" t="s">
        <v>228</v>
      </c>
      <c r="B12" s="10" t="s">
        <v>65</v>
      </c>
      <c r="C12" s="10" t="s">
        <v>229</v>
      </c>
      <c r="D12" s="10" t="s">
        <v>67</v>
      </c>
      <c r="E12" s="10" t="s">
        <v>230</v>
      </c>
    </row>
    <row r="13" spans="1:5" x14ac:dyDescent="0.2">
      <c r="A13" s="10" t="s">
        <v>231</v>
      </c>
      <c r="B13" s="10" t="s">
        <v>65</v>
      </c>
      <c r="C13" s="10" t="s">
        <v>213</v>
      </c>
      <c r="D13" s="10" t="s">
        <v>67</v>
      </c>
      <c r="E13" s="10" t="s">
        <v>232</v>
      </c>
    </row>
    <row r="14" spans="1:5" x14ac:dyDescent="0.2">
      <c r="A14" s="10" t="s">
        <v>233</v>
      </c>
      <c r="B14" s="10" t="s">
        <v>65</v>
      </c>
      <c r="C14" s="10" t="s">
        <v>216</v>
      </c>
      <c r="D14" s="10" t="s">
        <v>67</v>
      </c>
      <c r="E14" s="10" t="s">
        <v>234</v>
      </c>
    </row>
    <row r="15" spans="1:5" x14ac:dyDescent="0.2">
      <c r="A15" s="10" t="s">
        <v>235</v>
      </c>
      <c r="B15" s="10" t="s">
        <v>65</v>
      </c>
      <c r="C15" s="10" t="s">
        <v>229</v>
      </c>
      <c r="D15" s="10" t="s">
        <v>67</v>
      </c>
      <c r="E15" s="10" t="s">
        <v>236</v>
      </c>
    </row>
    <row r="16" spans="1:5" x14ac:dyDescent="0.2">
      <c r="A16" s="10" t="s">
        <v>237</v>
      </c>
      <c r="B16" s="10" t="s">
        <v>69</v>
      </c>
      <c r="C16" s="10" t="s">
        <v>210</v>
      </c>
      <c r="D16" s="10" t="s">
        <v>67</v>
      </c>
      <c r="E16" s="10" t="s">
        <v>238</v>
      </c>
    </row>
    <row r="17" spans="1:5" x14ac:dyDescent="0.2">
      <c r="A17" s="10" t="s">
        <v>239</v>
      </c>
      <c r="B17" s="10" t="s">
        <v>72</v>
      </c>
      <c r="C17" s="10" t="s">
        <v>213</v>
      </c>
      <c r="D17" s="10" t="s">
        <v>67</v>
      </c>
      <c r="E17" s="10" t="s">
        <v>240</v>
      </c>
    </row>
    <row r="18" spans="1:5" x14ac:dyDescent="0.2">
      <c r="A18" s="10" t="s">
        <v>241</v>
      </c>
      <c r="B18" s="10" t="s">
        <v>74</v>
      </c>
      <c r="C18" s="10" t="s">
        <v>213</v>
      </c>
      <c r="D18" s="10" t="s">
        <v>67</v>
      </c>
      <c r="E18" s="10" t="s">
        <v>242</v>
      </c>
    </row>
    <row r="19" spans="1:5" x14ac:dyDescent="0.2">
      <c r="A19" s="10" t="s">
        <v>243</v>
      </c>
      <c r="B19" s="10" t="s">
        <v>79</v>
      </c>
      <c r="C19" s="10" t="s">
        <v>244</v>
      </c>
      <c r="D19" s="10" t="s">
        <v>67</v>
      </c>
      <c r="E19" s="10" t="s">
        <v>245</v>
      </c>
    </row>
    <row r="20" spans="1:5" x14ac:dyDescent="0.2">
      <c r="A20" s="10" t="s">
        <v>246</v>
      </c>
      <c r="B20" s="10" t="s">
        <v>79</v>
      </c>
      <c r="C20" s="10" t="s">
        <v>210</v>
      </c>
      <c r="D20" s="10" t="s">
        <v>67</v>
      </c>
      <c r="E20" s="10" t="s">
        <v>247</v>
      </c>
    </row>
    <row r="21" spans="1:5" x14ac:dyDescent="0.2">
      <c r="A21" s="10" t="s">
        <v>248</v>
      </c>
      <c r="B21" s="10" t="s">
        <v>81</v>
      </c>
      <c r="C21" s="10" t="s">
        <v>244</v>
      </c>
      <c r="D21" s="10" t="s">
        <v>67</v>
      </c>
      <c r="E21" s="10" t="s">
        <v>249</v>
      </c>
    </row>
    <row r="22" spans="1:5" x14ac:dyDescent="0.2">
      <c r="A22" s="10" t="s">
        <v>250</v>
      </c>
      <c r="B22" s="10" t="s">
        <v>81</v>
      </c>
      <c r="C22" s="10" t="s">
        <v>229</v>
      </c>
      <c r="D22" s="10" t="s">
        <v>67</v>
      </c>
      <c r="E22" s="10" t="s">
        <v>251</v>
      </c>
    </row>
    <row r="23" spans="1:5" x14ac:dyDescent="0.2">
      <c r="A23" s="10" t="s">
        <v>252</v>
      </c>
      <c r="B23" s="10" t="s">
        <v>82</v>
      </c>
      <c r="C23" s="10" t="s">
        <v>244</v>
      </c>
      <c r="D23" s="10" t="s">
        <v>67</v>
      </c>
      <c r="E23" s="10" t="s">
        <v>253</v>
      </c>
    </row>
    <row r="24" spans="1:5" x14ac:dyDescent="0.2">
      <c r="A24" s="10" t="s">
        <v>254</v>
      </c>
      <c r="B24" s="10" t="s">
        <v>84</v>
      </c>
      <c r="C24" s="10" t="s">
        <v>255</v>
      </c>
      <c r="D24" s="10" t="s">
        <v>67</v>
      </c>
      <c r="E24" s="10" t="s">
        <v>256</v>
      </c>
    </row>
    <row r="25" spans="1:5" x14ac:dyDescent="0.2">
      <c r="A25" s="10" t="s">
        <v>257</v>
      </c>
      <c r="B25" s="10" t="s">
        <v>86</v>
      </c>
      <c r="C25" s="10" t="s">
        <v>255</v>
      </c>
      <c r="D25" s="10" t="s">
        <v>67</v>
      </c>
      <c r="E25" s="10" t="s">
        <v>258</v>
      </c>
    </row>
    <row r="26" spans="1:5" x14ac:dyDescent="0.2">
      <c r="A26" s="10" t="s">
        <v>259</v>
      </c>
      <c r="B26" s="10" t="s">
        <v>188</v>
      </c>
      <c r="C26" s="10" t="s">
        <v>260</v>
      </c>
      <c r="D26" s="10" t="s">
        <v>67</v>
      </c>
      <c r="E26" s="10" t="s">
        <v>261</v>
      </c>
    </row>
    <row r="27" spans="1:5" x14ac:dyDescent="0.2">
      <c r="A27" s="10" t="s">
        <v>262</v>
      </c>
      <c r="B27" s="10" t="s">
        <v>87</v>
      </c>
      <c r="C27" s="10" t="s">
        <v>260</v>
      </c>
      <c r="D27" s="10" t="s">
        <v>67</v>
      </c>
      <c r="E27" s="10" t="s">
        <v>263</v>
      </c>
    </row>
    <row r="28" spans="1:5" x14ac:dyDescent="0.2">
      <c r="A28" s="10" t="s">
        <v>264</v>
      </c>
      <c r="B28" s="10" t="s">
        <v>89</v>
      </c>
      <c r="C28" s="10" t="s">
        <v>260</v>
      </c>
      <c r="D28" s="10" t="s">
        <v>67</v>
      </c>
      <c r="E28" s="10" t="s">
        <v>265</v>
      </c>
    </row>
    <row r="29" spans="1:5" x14ac:dyDescent="0.2">
      <c r="A29" s="10" t="s">
        <v>266</v>
      </c>
      <c r="B29" s="10" t="s">
        <v>91</v>
      </c>
      <c r="C29" s="10" t="s">
        <v>267</v>
      </c>
      <c r="D29" s="10" t="s">
        <v>67</v>
      </c>
      <c r="E29" s="10" t="s">
        <v>268</v>
      </c>
    </row>
    <row r="30" spans="1:5" x14ac:dyDescent="0.2">
      <c r="A30" s="14" t="s">
        <v>269</v>
      </c>
      <c r="B30" s="14" t="s">
        <v>94</v>
      </c>
      <c r="C30" s="14" t="s">
        <v>270</v>
      </c>
      <c r="D30" s="14" t="s">
        <v>271</v>
      </c>
      <c r="E30" s="14" t="s">
        <v>272</v>
      </c>
    </row>
    <row r="32" spans="1:5" ht="15" customHeight="1" x14ac:dyDescent="0.2">
      <c r="A32" s="3" t="s">
        <v>273</v>
      </c>
      <c r="B32" s="3"/>
      <c r="C32" s="3"/>
      <c r="D32" s="3"/>
      <c r="E32" s="3"/>
    </row>
  </sheetData>
  <mergeCells count="3">
    <mergeCell ref="A1:E1"/>
    <mergeCell ref="A2:E2"/>
    <mergeCell ref="A32:E3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52"/>
  <sheetViews>
    <sheetView zoomScaleNormal="100" workbookViewId="0">
      <pane ySplit="3" topLeftCell="A4" activePane="bottomLeft" state="frozen"/>
      <selection pane="bottomLeft" activeCell="E15" sqref="E15"/>
    </sheetView>
  </sheetViews>
  <sheetFormatPr baseColWidth="10" defaultColWidth="8.6640625" defaultRowHeight="15" x14ac:dyDescent="0.2"/>
  <cols>
    <col min="1" max="1" width="34" customWidth="1"/>
    <col min="2" max="3" width="14" customWidth="1"/>
    <col min="4" max="4" width="16" customWidth="1"/>
    <col min="5" max="5" width="18" customWidth="1"/>
    <col min="6" max="6" width="50" customWidth="1"/>
  </cols>
  <sheetData>
    <row r="1" spans="1:6" ht="20" x14ac:dyDescent="0.2">
      <c r="A1" s="4" t="s">
        <v>274</v>
      </c>
      <c r="B1" s="4"/>
      <c r="C1" s="4"/>
      <c r="D1" s="4"/>
      <c r="E1" s="4"/>
      <c r="F1" s="4"/>
    </row>
    <row r="2" spans="1:6" ht="26.75" customHeight="1" x14ac:dyDescent="0.2">
      <c r="A2" s="1" t="s">
        <v>275</v>
      </c>
      <c r="B2" s="1"/>
      <c r="C2" s="1"/>
      <c r="D2" s="15">
        <v>179</v>
      </c>
      <c r="E2" s="5" t="s">
        <v>276</v>
      </c>
      <c r="F2" s="5"/>
    </row>
    <row r="3" spans="1:6" x14ac:dyDescent="0.2">
      <c r="A3" s="5" t="s">
        <v>277</v>
      </c>
      <c r="B3" s="5"/>
      <c r="C3" s="5"/>
      <c r="D3" s="5"/>
    </row>
    <row r="5" spans="1:6" ht="30" x14ac:dyDescent="0.2">
      <c r="A5" s="9" t="s">
        <v>278</v>
      </c>
      <c r="B5" s="9" t="s">
        <v>279</v>
      </c>
      <c r="C5" s="9" t="s">
        <v>280</v>
      </c>
      <c r="D5" s="9" t="s">
        <v>281</v>
      </c>
      <c r="E5" s="9" t="s">
        <v>282</v>
      </c>
      <c r="F5" s="9" t="s">
        <v>24</v>
      </c>
    </row>
    <row r="6" spans="1:6" x14ac:dyDescent="0.2">
      <c r="A6" s="10" t="s">
        <v>283</v>
      </c>
      <c r="B6" s="10" t="s">
        <v>284</v>
      </c>
      <c r="C6" s="16">
        <v>28000</v>
      </c>
      <c r="D6" s="11">
        <f>C6/$D$2</f>
        <v>156.42458100558659</v>
      </c>
      <c r="E6" s="11">
        <f>MROUND(D6*1.4,5)</f>
        <v>220</v>
      </c>
      <c r="F6" s="13"/>
    </row>
    <row r="7" spans="1:6" x14ac:dyDescent="0.2">
      <c r="A7" s="10" t="s">
        <v>283</v>
      </c>
      <c r="B7" s="10" t="s">
        <v>285</v>
      </c>
      <c r="C7" s="10" t="s">
        <v>52</v>
      </c>
      <c r="D7" s="10" t="s">
        <v>52</v>
      </c>
      <c r="E7" s="10" t="s">
        <v>52</v>
      </c>
      <c r="F7" s="13"/>
    </row>
    <row r="8" spans="1:6" x14ac:dyDescent="0.2">
      <c r="A8" s="10" t="s">
        <v>283</v>
      </c>
      <c r="B8" s="10" t="s">
        <v>286</v>
      </c>
      <c r="C8" s="16">
        <v>20000</v>
      </c>
      <c r="D8" s="11">
        <f>C8/$D$2</f>
        <v>111.73184357541899</v>
      </c>
      <c r="E8" s="11">
        <f>MROUND(D8*1.4,5)</f>
        <v>155</v>
      </c>
      <c r="F8" s="13"/>
    </row>
    <row r="9" spans="1:6" x14ac:dyDescent="0.2">
      <c r="A9" s="10" t="s">
        <v>287</v>
      </c>
      <c r="B9" s="10" t="s">
        <v>284</v>
      </c>
      <c r="C9" s="16">
        <v>33000</v>
      </c>
      <c r="D9" s="11">
        <f>C9/$D$2</f>
        <v>184.35754189944134</v>
      </c>
      <c r="E9" s="11">
        <f>MROUND(D9*1.4,5)</f>
        <v>260</v>
      </c>
      <c r="F9" s="13"/>
    </row>
    <row r="10" spans="1:6" x14ac:dyDescent="0.2">
      <c r="A10" s="10" t="s">
        <v>287</v>
      </c>
      <c r="B10" s="10" t="s">
        <v>285</v>
      </c>
      <c r="C10" s="10" t="s">
        <v>52</v>
      </c>
      <c r="D10" s="10" t="s">
        <v>52</v>
      </c>
      <c r="E10" s="10" t="s">
        <v>52</v>
      </c>
      <c r="F10" s="13"/>
    </row>
    <row r="11" spans="1:6" x14ac:dyDescent="0.2">
      <c r="A11" s="10" t="s">
        <v>287</v>
      </c>
      <c r="B11" s="10" t="s">
        <v>286</v>
      </c>
      <c r="C11" s="16">
        <v>25000</v>
      </c>
      <c r="D11" s="11">
        <f>C11/$D$2</f>
        <v>139.66480446927375</v>
      </c>
      <c r="E11" s="11">
        <f>MROUND(D11*1.4,5)</f>
        <v>195</v>
      </c>
      <c r="F11" s="13"/>
    </row>
    <row r="12" spans="1:6" x14ac:dyDescent="0.2">
      <c r="A12" s="10" t="s">
        <v>288</v>
      </c>
      <c r="B12" s="10" t="s">
        <v>284</v>
      </c>
      <c r="C12" s="16">
        <v>32000</v>
      </c>
      <c r="D12" s="11">
        <f>C12/$D$2</f>
        <v>178.77094972067039</v>
      </c>
      <c r="E12" s="11">
        <f>MROUND(D12*1.4,5)</f>
        <v>250</v>
      </c>
      <c r="F12" s="13"/>
    </row>
    <row r="13" spans="1:6" x14ac:dyDescent="0.2">
      <c r="A13" s="10" t="s">
        <v>288</v>
      </c>
      <c r="B13" s="10" t="s">
        <v>285</v>
      </c>
      <c r="C13" s="10" t="s">
        <v>52</v>
      </c>
      <c r="D13" s="10" t="s">
        <v>52</v>
      </c>
      <c r="E13" s="10" t="s">
        <v>52</v>
      </c>
      <c r="F13" s="13"/>
    </row>
    <row r="14" spans="1:6" x14ac:dyDescent="0.2">
      <c r="A14" s="10" t="s">
        <v>288</v>
      </c>
      <c r="B14" s="10" t="s">
        <v>286</v>
      </c>
      <c r="C14" s="16">
        <v>25000</v>
      </c>
      <c r="D14" s="11">
        <f t="shared" ref="D14:D47" si="0">C14/$D$2</f>
        <v>139.66480446927375</v>
      </c>
      <c r="E14" s="11">
        <f t="shared" ref="E14:E47" si="1">MROUND(D14*1.4,5)</f>
        <v>195</v>
      </c>
      <c r="F14" s="13"/>
    </row>
    <row r="15" spans="1:6" x14ac:dyDescent="0.2">
      <c r="A15" s="10" t="s">
        <v>289</v>
      </c>
      <c r="B15" s="10" t="s">
        <v>284</v>
      </c>
      <c r="C15" s="16">
        <v>80000</v>
      </c>
      <c r="D15" s="11">
        <f t="shared" si="0"/>
        <v>446.92737430167597</v>
      </c>
      <c r="E15" s="11">
        <f t="shared" si="1"/>
        <v>625</v>
      </c>
      <c r="F15" s="13"/>
    </row>
    <row r="16" spans="1:6" x14ac:dyDescent="0.2">
      <c r="A16" s="10" t="s">
        <v>289</v>
      </c>
      <c r="B16" s="10" t="s">
        <v>285</v>
      </c>
      <c r="C16" s="16">
        <v>90000</v>
      </c>
      <c r="D16" s="11">
        <f t="shared" si="0"/>
        <v>502.79329608938548</v>
      </c>
      <c r="E16" s="11">
        <f t="shared" si="1"/>
        <v>705</v>
      </c>
      <c r="F16" s="13"/>
    </row>
    <row r="17" spans="1:6" x14ac:dyDescent="0.2">
      <c r="A17" s="10" t="s">
        <v>289</v>
      </c>
      <c r="B17" s="10" t="s">
        <v>286</v>
      </c>
      <c r="C17" s="16">
        <v>65000</v>
      </c>
      <c r="D17" s="11">
        <f t="shared" si="0"/>
        <v>363.12849162011173</v>
      </c>
      <c r="E17" s="11">
        <f t="shared" si="1"/>
        <v>510</v>
      </c>
      <c r="F17" s="13"/>
    </row>
    <row r="18" spans="1:6" x14ac:dyDescent="0.2">
      <c r="A18" s="10" t="s">
        <v>290</v>
      </c>
      <c r="B18" s="10" t="s">
        <v>284</v>
      </c>
      <c r="C18" s="16">
        <v>80000</v>
      </c>
      <c r="D18" s="11">
        <f t="shared" si="0"/>
        <v>446.92737430167597</v>
      </c>
      <c r="E18" s="11">
        <f t="shared" si="1"/>
        <v>625</v>
      </c>
      <c r="F18" s="13"/>
    </row>
    <row r="19" spans="1:6" x14ac:dyDescent="0.2">
      <c r="A19" s="10" t="s">
        <v>290</v>
      </c>
      <c r="B19" s="10" t="s">
        <v>285</v>
      </c>
      <c r="C19" s="16">
        <v>90000</v>
      </c>
      <c r="D19" s="11">
        <f t="shared" si="0"/>
        <v>502.79329608938548</v>
      </c>
      <c r="E19" s="11">
        <f t="shared" si="1"/>
        <v>705</v>
      </c>
      <c r="F19" s="13"/>
    </row>
    <row r="20" spans="1:6" x14ac:dyDescent="0.2">
      <c r="A20" s="10" t="s">
        <v>290</v>
      </c>
      <c r="B20" s="10" t="s">
        <v>286</v>
      </c>
      <c r="C20" s="16">
        <v>65000</v>
      </c>
      <c r="D20" s="11">
        <f t="shared" si="0"/>
        <v>363.12849162011173</v>
      </c>
      <c r="E20" s="11">
        <f t="shared" si="1"/>
        <v>510</v>
      </c>
      <c r="F20" s="13"/>
    </row>
    <row r="21" spans="1:6" x14ac:dyDescent="0.2">
      <c r="A21" s="10" t="s">
        <v>291</v>
      </c>
      <c r="B21" s="10" t="s">
        <v>284</v>
      </c>
      <c r="C21" s="16">
        <v>85000</v>
      </c>
      <c r="D21" s="11">
        <f t="shared" si="0"/>
        <v>474.86033519553075</v>
      </c>
      <c r="E21" s="11">
        <f t="shared" si="1"/>
        <v>665</v>
      </c>
      <c r="F21" s="13"/>
    </row>
    <row r="22" spans="1:6" x14ac:dyDescent="0.2">
      <c r="A22" s="10" t="s">
        <v>291</v>
      </c>
      <c r="B22" s="10" t="s">
        <v>285</v>
      </c>
      <c r="C22" s="16">
        <v>95000</v>
      </c>
      <c r="D22" s="11">
        <f t="shared" si="0"/>
        <v>530.72625698324021</v>
      </c>
      <c r="E22" s="11">
        <f t="shared" si="1"/>
        <v>745</v>
      </c>
      <c r="F22" s="13"/>
    </row>
    <row r="23" spans="1:6" x14ac:dyDescent="0.2">
      <c r="A23" s="10" t="s">
        <v>291</v>
      </c>
      <c r="B23" s="10" t="s">
        <v>286</v>
      </c>
      <c r="C23" s="16">
        <v>70000</v>
      </c>
      <c r="D23" s="11">
        <f t="shared" si="0"/>
        <v>391.06145251396646</v>
      </c>
      <c r="E23" s="11">
        <f t="shared" si="1"/>
        <v>545</v>
      </c>
      <c r="F23" s="13"/>
    </row>
    <row r="24" spans="1:6" x14ac:dyDescent="0.2">
      <c r="A24" s="10" t="s">
        <v>292</v>
      </c>
      <c r="B24" s="10" t="s">
        <v>284</v>
      </c>
      <c r="C24" s="16">
        <v>80000</v>
      </c>
      <c r="D24" s="11">
        <f t="shared" si="0"/>
        <v>446.92737430167597</v>
      </c>
      <c r="E24" s="11">
        <f t="shared" si="1"/>
        <v>625</v>
      </c>
      <c r="F24" s="13"/>
    </row>
    <row r="25" spans="1:6" x14ac:dyDescent="0.2">
      <c r="A25" s="10" t="s">
        <v>292</v>
      </c>
      <c r="B25" s="10" t="s">
        <v>285</v>
      </c>
      <c r="C25" s="16">
        <v>95000</v>
      </c>
      <c r="D25" s="11">
        <f t="shared" si="0"/>
        <v>530.72625698324021</v>
      </c>
      <c r="E25" s="11">
        <f t="shared" si="1"/>
        <v>745</v>
      </c>
      <c r="F25" s="13"/>
    </row>
    <row r="26" spans="1:6" x14ac:dyDescent="0.2">
      <c r="A26" s="10" t="s">
        <v>292</v>
      </c>
      <c r="B26" s="10" t="s">
        <v>286</v>
      </c>
      <c r="C26" s="16">
        <v>63000</v>
      </c>
      <c r="D26" s="11">
        <f t="shared" si="0"/>
        <v>351.95530726256982</v>
      </c>
      <c r="E26" s="11">
        <f t="shared" si="1"/>
        <v>495</v>
      </c>
      <c r="F26" s="13"/>
    </row>
    <row r="27" spans="1:6" x14ac:dyDescent="0.2">
      <c r="A27" s="10" t="s">
        <v>293</v>
      </c>
      <c r="B27" s="10" t="s">
        <v>284</v>
      </c>
      <c r="C27" s="16">
        <v>85000</v>
      </c>
      <c r="D27" s="11">
        <f t="shared" si="0"/>
        <v>474.86033519553075</v>
      </c>
      <c r="E27" s="11">
        <f t="shared" si="1"/>
        <v>665</v>
      </c>
      <c r="F27" s="13"/>
    </row>
    <row r="28" spans="1:6" x14ac:dyDescent="0.2">
      <c r="A28" s="10" t="s">
        <v>293</v>
      </c>
      <c r="B28" s="10" t="s">
        <v>285</v>
      </c>
      <c r="C28" s="16">
        <v>90000</v>
      </c>
      <c r="D28" s="11">
        <f t="shared" si="0"/>
        <v>502.79329608938548</v>
      </c>
      <c r="E28" s="11">
        <f t="shared" si="1"/>
        <v>705</v>
      </c>
      <c r="F28" s="13"/>
    </row>
    <row r="29" spans="1:6" x14ac:dyDescent="0.2">
      <c r="A29" s="10" t="s">
        <v>293</v>
      </c>
      <c r="B29" s="10" t="s">
        <v>286</v>
      </c>
      <c r="C29" s="16">
        <v>70000</v>
      </c>
      <c r="D29" s="11">
        <f t="shared" si="0"/>
        <v>391.06145251396646</v>
      </c>
      <c r="E29" s="11">
        <f t="shared" si="1"/>
        <v>545</v>
      </c>
      <c r="F29" s="13"/>
    </row>
    <row r="30" spans="1:6" x14ac:dyDescent="0.2">
      <c r="A30" s="10" t="s">
        <v>294</v>
      </c>
      <c r="B30" s="10" t="s">
        <v>284</v>
      </c>
      <c r="C30" s="16">
        <v>80000</v>
      </c>
      <c r="D30" s="11">
        <f t="shared" si="0"/>
        <v>446.92737430167597</v>
      </c>
      <c r="E30" s="11">
        <f t="shared" si="1"/>
        <v>625</v>
      </c>
      <c r="F30" s="13"/>
    </row>
    <row r="31" spans="1:6" x14ac:dyDescent="0.2">
      <c r="A31" s="10" t="s">
        <v>294</v>
      </c>
      <c r="B31" s="10" t="s">
        <v>285</v>
      </c>
      <c r="C31" s="16">
        <v>85000</v>
      </c>
      <c r="D31" s="11">
        <f t="shared" si="0"/>
        <v>474.86033519553075</v>
      </c>
      <c r="E31" s="11">
        <f t="shared" si="1"/>
        <v>665</v>
      </c>
      <c r="F31" s="13"/>
    </row>
    <row r="32" spans="1:6" x14ac:dyDescent="0.2">
      <c r="A32" s="10" t="s">
        <v>294</v>
      </c>
      <c r="B32" s="10" t="s">
        <v>286</v>
      </c>
      <c r="C32" s="16">
        <v>65000</v>
      </c>
      <c r="D32" s="11">
        <f t="shared" si="0"/>
        <v>363.12849162011173</v>
      </c>
      <c r="E32" s="11">
        <f t="shared" si="1"/>
        <v>510</v>
      </c>
      <c r="F32" s="13"/>
    </row>
    <row r="33" spans="1:6" x14ac:dyDescent="0.2">
      <c r="A33" s="10" t="s">
        <v>295</v>
      </c>
      <c r="B33" s="10" t="s">
        <v>284</v>
      </c>
      <c r="C33" s="16">
        <v>75000</v>
      </c>
      <c r="D33" s="11">
        <f t="shared" si="0"/>
        <v>418.99441340782124</v>
      </c>
      <c r="E33" s="11">
        <f t="shared" si="1"/>
        <v>585</v>
      </c>
      <c r="F33" s="13"/>
    </row>
    <row r="34" spans="1:6" x14ac:dyDescent="0.2">
      <c r="A34" s="10" t="s">
        <v>295</v>
      </c>
      <c r="B34" s="10" t="s">
        <v>285</v>
      </c>
      <c r="C34" s="16">
        <v>85000</v>
      </c>
      <c r="D34" s="11">
        <f t="shared" si="0"/>
        <v>474.86033519553075</v>
      </c>
      <c r="E34" s="11">
        <f t="shared" si="1"/>
        <v>665</v>
      </c>
      <c r="F34" s="13"/>
    </row>
    <row r="35" spans="1:6" x14ac:dyDescent="0.2">
      <c r="A35" s="10" t="s">
        <v>295</v>
      </c>
      <c r="B35" s="10" t="s">
        <v>286</v>
      </c>
      <c r="C35" s="16">
        <v>60000</v>
      </c>
      <c r="D35" s="11">
        <f t="shared" si="0"/>
        <v>335.195530726257</v>
      </c>
      <c r="E35" s="11">
        <f t="shared" si="1"/>
        <v>470</v>
      </c>
      <c r="F35" s="13"/>
    </row>
    <row r="36" spans="1:6" x14ac:dyDescent="0.2">
      <c r="A36" s="10" t="s">
        <v>296</v>
      </c>
      <c r="B36" s="10" t="s">
        <v>284</v>
      </c>
      <c r="C36" s="16">
        <v>75000</v>
      </c>
      <c r="D36" s="11">
        <f t="shared" si="0"/>
        <v>418.99441340782124</v>
      </c>
      <c r="E36" s="11">
        <f t="shared" si="1"/>
        <v>585</v>
      </c>
      <c r="F36" s="13"/>
    </row>
    <row r="37" spans="1:6" x14ac:dyDescent="0.2">
      <c r="A37" s="10" t="s">
        <v>296</v>
      </c>
      <c r="B37" s="10" t="s">
        <v>285</v>
      </c>
      <c r="C37" s="16">
        <v>80000</v>
      </c>
      <c r="D37" s="11">
        <f t="shared" si="0"/>
        <v>446.92737430167597</v>
      </c>
      <c r="E37" s="11">
        <f t="shared" si="1"/>
        <v>625</v>
      </c>
      <c r="F37" s="13"/>
    </row>
    <row r="38" spans="1:6" x14ac:dyDescent="0.2">
      <c r="A38" s="10" t="s">
        <v>296</v>
      </c>
      <c r="B38" s="10" t="s">
        <v>286</v>
      </c>
      <c r="C38" s="16">
        <v>60000</v>
      </c>
      <c r="D38" s="11">
        <f t="shared" si="0"/>
        <v>335.195530726257</v>
      </c>
      <c r="E38" s="11">
        <f t="shared" si="1"/>
        <v>470</v>
      </c>
      <c r="F38" s="13"/>
    </row>
    <row r="39" spans="1:6" x14ac:dyDescent="0.2">
      <c r="A39" s="10" t="s">
        <v>297</v>
      </c>
      <c r="B39" s="10" t="s">
        <v>284</v>
      </c>
      <c r="C39" s="16">
        <v>65000</v>
      </c>
      <c r="D39" s="11">
        <f t="shared" si="0"/>
        <v>363.12849162011173</v>
      </c>
      <c r="E39" s="11">
        <f t="shared" si="1"/>
        <v>510</v>
      </c>
      <c r="F39" s="13"/>
    </row>
    <row r="40" spans="1:6" x14ac:dyDescent="0.2">
      <c r="A40" s="10" t="s">
        <v>297</v>
      </c>
      <c r="B40" s="10" t="s">
        <v>285</v>
      </c>
      <c r="C40" s="16">
        <v>75000</v>
      </c>
      <c r="D40" s="11">
        <f t="shared" si="0"/>
        <v>418.99441340782124</v>
      </c>
      <c r="E40" s="11">
        <f t="shared" si="1"/>
        <v>585</v>
      </c>
      <c r="F40" s="13"/>
    </row>
    <row r="41" spans="1:6" x14ac:dyDescent="0.2">
      <c r="A41" s="10" t="s">
        <v>297</v>
      </c>
      <c r="B41" s="10" t="s">
        <v>286</v>
      </c>
      <c r="C41" s="16">
        <v>50000</v>
      </c>
      <c r="D41" s="11">
        <f t="shared" si="0"/>
        <v>279.32960893854749</v>
      </c>
      <c r="E41" s="11">
        <f t="shared" si="1"/>
        <v>390</v>
      </c>
      <c r="F41" s="13"/>
    </row>
    <row r="42" spans="1:6" x14ac:dyDescent="0.2">
      <c r="A42" s="10" t="s">
        <v>298</v>
      </c>
      <c r="B42" s="10" t="s">
        <v>286</v>
      </c>
      <c r="C42" s="16">
        <v>52000</v>
      </c>
      <c r="D42" s="11">
        <f t="shared" si="0"/>
        <v>290.50279329608941</v>
      </c>
      <c r="E42" s="11">
        <f t="shared" si="1"/>
        <v>405</v>
      </c>
      <c r="F42" s="13"/>
    </row>
    <row r="43" spans="1:6" x14ac:dyDescent="0.2">
      <c r="A43" s="10" t="s">
        <v>299</v>
      </c>
      <c r="B43" s="10" t="s">
        <v>286</v>
      </c>
      <c r="C43" s="16">
        <v>85000</v>
      </c>
      <c r="D43" s="11">
        <f t="shared" si="0"/>
        <v>474.86033519553075</v>
      </c>
      <c r="E43" s="11">
        <f t="shared" si="1"/>
        <v>665</v>
      </c>
      <c r="F43" s="13"/>
    </row>
    <row r="44" spans="1:6" x14ac:dyDescent="0.2">
      <c r="A44" s="10" t="s">
        <v>300</v>
      </c>
      <c r="B44" s="10" t="s">
        <v>286</v>
      </c>
      <c r="C44" s="16">
        <v>70000</v>
      </c>
      <c r="D44" s="11">
        <f t="shared" si="0"/>
        <v>391.06145251396646</v>
      </c>
      <c r="E44" s="11">
        <f t="shared" si="1"/>
        <v>545</v>
      </c>
      <c r="F44" s="13"/>
    </row>
    <row r="45" spans="1:6" x14ac:dyDescent="0.2">
      <c r="A45" s="10" t="s">
        <v>301</v>
      </c>
      <c r="B45" s="10" t="s">
        <v>286</v>
      </c>
      <c r="C45" s="16">
        <v>30000</v>
      </c>
      <c r="D45" s="11">
        <f t="shared" si="0"/>
        <v>167.5977653631285</v>
      </c>
      <c r="E45" s="11">
        <f t="shared" si="1"/>
        <v>235</v>
      </c>
      <c r="F45" s="13"/>
    </row>
    <row r="46" spans="1:6" x14ac:dyDescent="0.2">
      <c r="A46" s="10" t="s">
        <v>302</v>
      </c>
      <c r="B46" s="10" t="s">
        <v>285</v>
      </c>
      <c r="C46" s="16">
        <v>100000</v>
      </c>
      <c r="D46" s="11">
        <f t="shared" si="0"/>
        <v>558.65921787709499</v>
      </c>
      <c r="E46" s="11">
        <f t="shared" si="1"/>
        <v>780</v>
      </c>
      <c r="F46" s="13"/>
    </row>
    <row r="47" spans="1:6" x14ac:dyDescent="0.2">
      <c r="A47" s="10" t="s">
        <v>303</v>
      </c>
      <c r="B47" s="10" t="s">
        <v>285</v>
      </c>
      <c r="C47" s="16">
        <v>120000</v>
      </c>
      <c r="D47" s="11">
        <f t="shared" si="0"/>
        <v>670.39106145251401</v>
      </c>
      <c r="E47" s="11">
        <f t="shared" si="1"/>
        <v>940</v>
      </c>
      <c r="F47" s="13"/>
    </row>
    <row r="49" spans="1:6" x14ac:dyDescent="0.2">
      <c r="A49" s="12" t="s">
        <v>304</v>
      </c>
    </row>
    <row r="50" spans="1:6" ht="15" customHeight="1" x14ac:dyDescent="0.2">
      <c r="A50" s="3" t="s">
        <v>305</v>
      </c>
      <c r="B50" s="3"/>
      <c r="C50" s="3"/>
      <c r="D50" s="3"/>
      <c r="E50" s="3"/>
      <c r="F50" s="3"/>
    </row>
    <row r="51" spans="1:6" ht="15" customHeight="1" x14ac:dyDescent="0.2">
      <c r="A51" s="3" t="s">
        <v>306</v>
      </c>
      <c r="B51" s="3"/>
      <c r="C51" s="3"/>
      <c r="D51" s="3"/>
      <c r="E51" s="3"/>
      <c r="F51" s="3"/>
    </row>
    <row r="52" spans="1:6" ht="15" customHeight="1" x14ac:dyDescent="0.2">
      <c r="A52" s="3" t="s">
        <v>307</v>
      </c>
      <c r="B52" s="3"/>
      <c r="C52" s="3"/>
      <c r="D52" s="3"/>
      <c r="E52" s="3"/>
      <c r="F52" s="3"/>
    </row>
  </sheetData>
  <mergeCells count="7">
    <mergeCell ref="A51:F51"/>
    <mergeCell ref="A52:F52"/>
    <mergeCell ref="A1:F1"/>
    <mergeCell ref="A2:C2"/>
    <mergeCell ref="E2:F2"/>
    <mergeCell ref="A3:D3"/>
    <mergeCell ref="A50:F5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7"/>
  <sheetViews>
    <sheetView tabSelected="1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18" customWidth="1"/>
    <col min="2" max="2" width="10" customWidth="1"/>
    <col min="3" max="3" width="8" customWidth="1"/>
    <col min="4" max="5" width="14" customWidth="1"/>
    <col min="6" max="6" width="40" customWidth="1"/>
  </cols>
  <sheetData>
    <row r="1" spans="1:6" ht="20" x14ac:dyDescent="0.2">
      <c r="A1" s="4" t="s">
        <v>308</v>
      </c>
      <c r="B1" s="4"/>
      <c r="C1" s="4"/>
      <c r="D1" s="4"/>
      <c r="E1" s="4"/>
      <c r="F1" s="4"/>
    </row>
    <row r="2" spans="1:6" x14ac:dyDescent="0.2">
      <c r="A2" s="5" t="s">
        <v>309</v>
      </c>
      <c r="B2" s="5"/>
      <c r="C2" s="5"/>
      <c r="D2" s="5"/>
      <c r="E2" s="5"/>
      <c r="F2" s="5"/>
    </row>
    <row r="4" spans="1:6" x14ac:dyDescent="0.2">
      <c r="A4" s="9" t="s">
        <v>131</v>
      </c>
      <c r="B4" s="9" t="s">
        <v>310</v>
      </c>
      <c r="C4" s="9" t="s">
        <v>164</v>
      </c>
      <c r="D4" s="9" t="s">
        <v>311</v>
      </c>
      <c r="E4" s="9" t="s">
        <v>312</v>
      </c>
      <c r="F4" s="9" t="s">
        <v>24</v>
      </c>
    </row>
    <row r="5" spans="1:6" x14ac:dyDescent="0.2">
      <c r="A5" s="10" t="s">
        <v>175</v>
      </c>
      <c r="B5" s="10">
        <v>10</v>
      </c>
      <c r="C5" s="10">
        <v>4</v>
      </c>
      <c r="D5" s="11">
        <v>525</v>
      </c>
      <c r="E5" s="11">
        <v>600</v>
      </c>
      <c r="F5" s="10"/>
    </row>
    <row r="6" spans="1:6" x14ac:dyDescent="0.2">
      <c r="A6" s="10" t="s">
        <v>79</v>
      </c>
      <c r="B6" s="10">
        <v>8</v>
      </c>
      <c r="C6" s="10">
        <v>4</v>
      </c>
      <c r="D6" s="11">
        <v>495</v>
      </c>
      <c r="E6" s="11">
        <v>380</v>
      </c>
      <c r="F6" s="10"/>
    </row>
    <row r="7" spans="1:6" x14ac:dyDescent="0.2">
      <c r="A7" s="10" t="s">
        <v>81</v>
      </c>
      <c r="B7" s="10">
        <v>8</v>
      </c>
      <c r="C7" s="10">
        <v>4</v>
      </c>
      <c r="D7" s="11">
        <v>495</v>
      </c>
      <c r="E7" s="11">
        <v>380</v>
      </c>
      <c r="F7" s="10"/>
    </row>
  </sheetData>
  <mergeCells count="2">
    <mergeCell ref="A1:F1"/>
    <mergeCell ref="A2:F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Trip Duration</vt:lpstr>
      <vt:lpstr>Airports &amp; Meet-Assist</vt:lpstr>
      <vt:lpstr>Cities &amp; Nights</vt:lpstr>
      <vt:lpstr>Months &amp; Season</vt:lpstr>
      <vt:lpstr>Hotels by City</vt:lpstr>
      <vt:lpstr>Tours - Tokiotours Pricing</vt:lpstr>
      <vt:lpstr>Website Tour Catalog</vt:lpstr>
      <vt:lpstr>Driver &amp; Vehicle Prices</vt:lpstr>
      <vt:lpstr>Driver &amp; Guide Day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Nicki van Ingen Schenau</cp:lastModifiedBy>
  <cp:revision>0</cp:revision>
  <dcterms:created xsi:type="dcterms:W3CDTF">2026-09-11T13:45:33Z</dcterms:created>
  <dcterms:modified xsi:type="dcterms:W3CDTF">2026-09-11T13:49:09Z</dcterms:modified>
  <dc:language>en-US</dc:language>
</cp:coreProperties>
</file>